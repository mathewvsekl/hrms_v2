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eeshMathew\HRMS V2\"/>
    </mc:Choice>
  </mc:AlternateContent>
  <xr:revisionPtr revIDLastSave="0" documentId="13_ncr:1_{F8AAE9F5-F2C7-4DEA-804A-B3C54ABCA71D}" xr6:coauthVersionLast="47" xr6:coauthVersionMax="47" xr10:uidLastSave="{00000000-0000-0000-0000-000000000000}"/>
  <bookViews>
    <workbookView xWindow="-80" yWindow="-80" windowWidth="19360" windowHeight="11440" activeTab="10" xr2:uid="{00000000-000D-0000-FFFF-FFFF00000000}"/>
  </bookViews>
  <sheets>
    <sheet name="UG Leave " sheetId="13" r:id="rId1"/>
    <sheet name="UG December 2026" sheetId="14" state="hidden" r:id="rId2"/>
    <sheet name="UG November 2026" sheetId="12" state="hidden" r:id="rId3"/>
    <sheet name="UG October 2026" sheetId="11" state="hidden" r:id="rId4"/>
    <sheet name="UG September 2026" sheetId="10" state="hidden" r:id="rId5"/>
    <sheet name="UG August 2026" sheetId="8" state="hidden" r:id="rId6"/>
    <sheet name="UG July 2026" sheetId="7" state="hidden" r:id="rId7"/>
    <sheet name="UG June 2026" sheetId="5" state="hidden" r:id="rId8"/>
    <sheet name="UG May 2026" sheetId="3" state="hidden" r:id="rId9"/>
    <sheet name="UG April 2026" sheetId="2" state="hidden" r:id="rId10"/>
    <sheet name="UG March 2026" sheetId="15" r:id="rId11"/>
    <sheet name="UG February 2026" sheetId="16" r:id="rId12"/>
    <sheet name="UG January 2026" sheetId="17" r:id="rId13"/>
    <sheet name="Leave Form" sheetId="6" r:id="rId14"/>
    <sheet name="Aneesh" sheetId="18" r:id="rId15"/>
    <sheet name="Employee List" sheetId="4" r:id="rId16"/>
  </sheets>
  <definedNames>
    <definedName name="_xlnm._FilterDatabase" localSheetId="15" hidden="1">'Employee List'!$A$2:$F$2</definedName>
    <definedName name="Check6" localSheetId="14">Aneesh!$C$27</definedName>
    <definedName name="Check6" localSheetId="13">'Leave Form'!$C$27</definedName>
    <definedName name="_xlnm.Print_Area" localSheetId="14">Aneesh!$A$1:$J$31</definedName>
    <definedName name="_xlnm.Print_Area" localSheetId="13">'Leave Form'!$A$1:$J$31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" i="6" l="1"/>
  <c r="AX11" i="17"/>
  <c r="AX12" i="17"/>
  <c r="AX10" i="17"/>
  <c r="AO6" i="5"/>
  <c r="B21" i="12"/>
  <c r="AT13" i="17"/>
  <c r="AS13" i="17"/>
  <c r="AR13" i="17"/>
  <c r="AQ13" i="17"/>
  <c r="AP13" i="17"/>
  <c r="AO13" i="17"/>
  <c r="AN13" i="17"/>
  <c r="AM13" i="17"/>
  <c r="AL13" i="17"/>
  <c r="AK13" i="17"/>
  <c r="AJ13" i="17"/>
  <c r="AT12" i="17"/>
  <c r="AS12" i="17"/>
  <c r="AR12" i="17"/>
  <c r="AQ12" i="17"/>
  <c r="AP12" i="17"/>
  <c r="AO12" i="17"/>
  <c r="AN12" i="17"/>
  <c r="AM12" i="17"/>
  <c r="AL12" i="17"/>
  <c r="AK12" i="17"/>
  <c r="AJ12" i="17"/>
  <c r="AT11" i="17"/>
  <c r="AS11" i="17"/>
  <c r="AR11" i="17"/>
  <c r="AQ11" i="17"/>
  <c r="AP11" i="17"/>
  <c r="AO11" i="17"/>
  <c r="AN11" i="17"/>
  <c r="AM11" i="17"/>
  <c r="AL11" i="17"/>
  <c r="AK11" i="17"/>
  <c r="AJ11" i="17"/>
  <c r="AT10" i="17"/>
  <c r="AS10" i="17"/>
  <c r="AR10" i="17"/>
  <c r="AQ10" i="17"/>
  <c r="AP10" i="17"/>
  <c r="AO10" i="17"/>
  <c r="AN10" i="17"/>
  <c r="AM10" i="17"/>
  <c r="AL10" i="17"/>
  <c r="AK10" i="17"/>
  <c r="AJ10" i="17"/>
  <c r="AT9" i="17"/>
  <c r="AS9" i="17"/>
  <c r="AR9" i="17"/>
  <c r="AQ9" i="17"/>
  <c r="AP9" i="17"/>
  <c r="AO9" i="17"/>
  <c r="AN9" i="17"/>
  <c r="AM9" i="17"/>
  <c r="AL9" i="17"/>
  <c r="AK9" i="17"/>
  <c r="AJ9" i="17"/>
  <c r="AT8" i="17"/>
  <c r="AS8" i="17"/>
  <c r="AR8" i="17"/>
  <c r="AQ8" i="17"/>
  <c r="AP8" i="17"/>
  <c r="AO8" i="17"/>
  <c r="AN8" i="17"/>
  <c r="AM8" i="17"/>
  <c r="AL8" i="17"/>
  <c r="AK8" i="17"/>
  <c r="AJ8" i="17"/>
  <c r="AT7" i="17"/>
  <c r="AS7" i="17"/>
  <c r="AR7" i="17"/>
  <c r="AQ7" i="17"/>
  <c r="AP7" i="17"/>
  <c r="AO7" i="17"/>
  <c r="AN7" i="17"/>
  <c r="AM7" i="17"/>
  <c r="AL7" i="17"/>
  <c r="AK7" i="17"/>
  <c r="AJ7" i="17"/>
  <c r="AT6" i="17"/>
  <c r="AS6" i="17"/>
  <c r="AR6" i="17"/>
  <c r="AQ6" i="17"/>
  <c r="AP6" i="17"/>
  <c r="AO6" i="17"/>
  <c r="AN6" i="17"/>
  <c r="AM6" i="17"/>
  <c r="AL6" i="17"/>
  <c r="AK6" i="17"/>
  <c r="AJ6" i="17"/>
  <c r="AT5" i="17"/>
  <c r="AS5" i="17"/>
  <c r="AR5" i="17"/>
  <c r="AQ5" i="17"/>
  <c r="AP5" i="17"/>
  <c r="AO5" i="17"/>
  <c r="AN5" i="17"/>
  <c r="AM5" i="17"/>
  <c r="AL5" i="17"/>
  <c r="AK5" i="17"/>
  <c r="AJ5" i="17"/>
  <c r="AT4" i="17"/>
  <c r="AS4" i="17"/>
  <c r="AR4" i="17"/>
  <c r="AQ4" i="17"/>
  <c r="AP4" i="17"/>
  <c r="AO4" i="17"/>
  <c r="AN4" i="17"/>
  <c r="AM4" i="17"/>
  <c r="AL4" i="17"/>
  <c r="AK4" i="17"/>
  <c r="AJ4" i="17"/>
  <c r="AT13" i="16"/>
  <c r="AS13" i="16"/>
  <c r="AR13" i="16"/>
  <c r="AQ13" i="16"/>
  <c r="AP13" i="16"/>
  <c r="AO13" i="16"/>
  <c r="AN13" i="16"/>
  <c r="AM13" i="16"/>
  <c r="AL13" i="16"/>
  <c r="AK13" i="16"/>
  <c r="AJ13" i="16"/>
  <c r="AT12" i="16"/>
  <c r="AS12" i="16"/>
  <c r="AR12" i="16"/>
  <c r="AQ12" i="16"/>
  <c r="AP12" i="16"/>
  <c r="AO12" i="16"/>
  <c r="AN12" i="16"/>
  <c r="AM12" i="16"/>
  <c r="AL12" i="16"/>
  <c r="AK12" i="16"/>
  <c r="AJ12" i="16"/>
  <c r="AT11" i="16"/>
  <c r="AS11" i="16"/>
  <c r="AR11" i="16"/>
  <c r="AQ11" i="16"/>
  <c r="AP11" i="16"/>
  <c r="AO11" i="16"/>
  <c r="AN11" i="16"/>
  <c r="AM11" i="16"/>
  <c r="AL11" i="16"/>
  <c r="AK11" i="16"/>
  <c r="AJ11" i="16"/>
  <c r="AT10" i="16"/>
  <c r="AS10" i="16"/>
  <c r="AR10" i="16"/>
  <c r="AQ10" i="16"/>
  <c r="AP10" i="16"/>
  <c r="AO10" i="16"/>
  <c r="AN10" i="16"/>
  <c r="AM10" i="16"/>
  <c r="AL10" i="16"/>
  <c r="AK10" i="16"/>
  <c r="AJ10" i="16"/>
  <c r="AT9" i="16"/>
  <c r="AS9" i="16"/>
  <c r="AR9" i="16"/>
  <c r="AQ9" i="16"/>
  <c r="AP9" i="16"/>
  <c r="AO9" i="16"/>
  <c r="AN9" i="16"/>
  <c r="AM9" i="16"/>
  <c r="AL9" i="16"/>
  <c r="AK9" i="16"/>
  <c r="AJ9" i="16"/>
  <c r="AT8" i="16"/>
  <c r="AS8" i="16"/>
  <c r="AR8" i="16"/>
  <c r="AQ8" i="16"/>
  <c r="AP8" i="16"/>
  <c r="AO8" i="16"/>
  <c r="AN8" i="16"/>
  <c r="AM8" i="16"/>
  <c r="AL8" i="16"/>
  <c r="AK8" i="16"/>
  <c r="AJ8" i="16"/>
  <c r="AT7" i="16"/>
  <c r="AS7" i="16"/>
  <c r="AR7" i="16"/>
  <c r="AQ7" i="16"/>
  <c r="AP7" i="16"/>
  <c r="AO7" i="16"/>
  <c r="AN7" i="16"/>
  <c r="AM7" i="16"/>
  <c r="AL7" i="16"/>
  <c r="AK7" i="16"/>
  <c r="AJ7" i="16"/>
  <c r="AT6" i="16"/>
  <c r="AS6" i="16"/>
  <c r="AR6" i="16"/>
  <c r="AQ6" i="16"/>
  <c r="AP6" i="16"/>
  <c r="AO6" i="16"/>
  <c r="AN6" i="16"/>
  <c r="AM6" i="16"/>
  <c r="AL6" i="16"/>
  <c r="AK6" i="16"/>
  <c r="AJ6" i="16"/>
  <c r="AT5" i="16"/>
  <c r="AS5" i="16"/>
  <c r="AR5" i="16"/>
  <c r="AQ5" i="16"/>
  <c r="AP5" i="16"/>
  <c r="AO5" i="16"/>
  <c r="AN5" i="16"/>
  <c r="AM5" i="16"/>
  <c r="AL5" i="16"/>
  <c r="AK5" i="16"/>
  <c r="AJ5" i="16"/>
  <c r="AT4" i="16"/>
  <c r="AS4" i="16"/>
  <c r="AR4" i="16"/>
  <c r="AQ4" i="16"/>
  <c r="AP4" i="16"/>
  <c r="AO4" i="16"/>
  <c r="AN4" i="16"/>
  <c r="AM4" i="16"/>
  <c r="AL4" i="16"/>
  <c r="AK4" i="16"/>
  <c r="AJ4" i="16"/>
  <c r="AT13" i="15"/>
  <c r="AS13" i="15"/>
  <c r="AR13" i="15"/>
  <c r="AQ13" i="15"/>
  <c r="AP13" i="15"/>
  <c r="AO13" i="15"/>
  <c r="AN13" i="15"/>
  <c r="AM13" i="15"/>
  <c r="AL13" i="15"/>
  <c r="AK13" i="15"/>
  <c r="AJ13" i="15"/>
  <c r="AT12" i="15"/>
  <c r="AS12" i="15"/>
  <c r="AR12" i="15"/>
  <c r="AQ12" i="15"/>
  <c r="AP12" i="15"/>
  <c r="AO12" i="15"/>
  <c r="AN12" i="15"/>
  <c r="AM12" i="15"/>
  <c r="AL12" i="15"/>
  <c r="AK12" i="15"/>
  <c r="AJ12" i="15"/>
  <c r="AT11" i="15"/>
  <c r="AS11" i="15"/>
  <c r="AR11" i="15"/>
  <c r="AQ11" i="15"/>
  <c r="AP11" i="15"/>
  <c r="AO11" i="15"/>
  <c r="AN11" i="15"/>
  <c r="AM11" i="15"/>
  <c r="AL11" i="15"/>
  <c r="AK11" i="15"/>
  <c r="AJ11" i="15"/>
  <c r="AT10" i="15"/>
  <c r="AS10" i="15"/>
  <c r="AR10" i="15"/>
  <c r="AQ10" i="15"/>
  <c r="AP10" i="15"/>
  <c r="AO10" i="15"/>
  <c r="AN10" i="15"/>
  <c r="AM10" i="15"/>
  <c r="AL10" i="15"/>
  <c r="AK10" i="15"/>
  <c r="AJ10" i="15"/>
  <c r="AT9" i="15"/>
  <c r="AS9" i="15"/>
  <c r="AR9" i="15"/>
  <c r="AQ9" i="15"/>
  <c r="AP9" i="15"/>
  <c r="AO9" i="15"/>
  <c r="AN9" i="15"/>
  <c r="AM9" i="15"/>
  <c r="AL9" i="15"/>
  <c r="AK9" i="15"/>
  <c r="AJ9" i="15"/>
  <c r="AT8" i="15"/>
  <c r="AS8" i="15"/>
  <c r="AR8" i="15"/>
  <c r="AQ8" i="15"/>
  <c r="AP8" i="15"/>
  <c r="AO8" i="15"/>
  <c r="AN8" i="15"/>
  <c r="AM8" i="15"/>
  <c r="AL8" i="15"/>
  <c r="AK8" i="15"/>
  <c r="AJ8" i="15"/>
  <c r="AT7" i="15"/>
  <c r="AS7" i="15"/>
  <c r="AR7" i="15"/>
  <c r="AQ7" i="15"/>
  <c r="AP7" i="15"/>
  <c r="AO7" i="15"/>
  <c r="AN7" i="15"/>
  <c r="AM7" i="15"/>
  <c r="AL7" i="15"/>
  <c r="AK7" i="15"/>
  <c r="AJ7" i="15"/>
  <c r="AT6" i="15"/>
  <c r="AS6" i="15"/>
  <c r="AR6" i="15"/>
  <c r="AQ6" i="15"/>
  <c r="AP6" i="15"/>
  <c r="AO6" i="15"/>
  <c r="AN6" i="15"/>
  <c r="AM6" i="15"/>
  <c r="AL6" i="15"/>
  <c r="AK6" i="15"/>
  <c r="AJ6" i="15"/>
  <c r="AT5" i="15"/>
  <c r="AS5" i="15"/>
  <c r="AR5" i="15"/>
  <c r="AQ5" i="15"/>
  <c r="AP5" i="15"/>
  <c r="AO5" i="15"/>
  <c r="AN5" i="15"/>
  <c r="AM5" i="15"/>
  <c r="AL5" i="15"/>
  <c r="AK5" i="15"/>
  <c r="AJ5" i="15"/>
  <c r="AT4" i="15"/>
  <c r="AS4" i="15"/>
  <c r="AR4" i="15"/>
  <c r="AQ4" i="15"/>
  <c r="AP4" i="15"/>
  <c r="AO4" i="15"/>
  <c r="AN4" i="15"/>
  <c r="AM4" i="15"/>
  <c r="AL4" i="15"/>
  <c r="AK4" i="15"/>
  <c r="AJ4" i="15"/>
  <c r="S8" i="13"/>
  <c r="S10" i="13"/>
  <c r="S5" i="13"/>
  <c r="Q6" i="13"/>
  <c r="Q7" i="13"/>
  <c r="Q9" i="13"/>
  <c r="Q11" i="13"/>
  <c r="Q12" i="13"/>
  <c r="Q13" i="13"/>
  <c r="Q14" i="13"/>
  <c r="AT13" i="14"/>
  <c r="AS13" i="14"/>
  <c r="AR13" i="14"/>
  <c r="AQ13" i="14"/>
  <c r="AP13" i="14"/>
  <c r="AO13" i="14"/>
  <c r="AN13" i="14"/>
  <c r="AM13" i="14"/>
  <c r="AL13" i="14"/>
  <c r="AK13" i="14"/>
  <c r="AJ13" i="14"/>
  <c r="AT12" i="14"/>
  <c r="AS12" i="14"/>
  <c r="AR12" i="14"/>
  <c r="AQ12" i="14"/>
  <c r="AP12" i="14"/>
  <c r="AO12" i="14"/>
  <c r="AN12" i="14"/>
  <c r="AM12" i="14"/>
  <c r="AL12" i="14"/>
  <c r="AK12" i="14"/>
  <c r="AJ12" i="14"/>
  <c r="AT11" i="14"/>
  <c r="AS11" i="14"/>
  <c r="AR11" i="14"/>
  <c r="AQ11" i="14"/>
  <c r="AP11" i="14"/>
  <c r="AO11" i="14"/>
  <c r="AN11" i="14"/>
  <c r="AM11" i="14"/>
  <c r="AL11" i="14"/>
  <c r="AK11" i="14"/>
  <c r="AJ11" i="14"/>
  <c r="AT10" i="14"/>
  <c r="AS10" i="14"/>
  <c r="AR10" i="14"/>
  <c r="AQ10" i="14"/>
  <c r="AP10" i="14"/>
  <c r="AO10" i="14"/>
  <c r="AN10" i="14"/>
  <c r="AM10" i="14"/>
  <c r="AL10" i="14"/>
  <c r="AK10" i="14"/>
  <c r="AJ10" i="14"/>
  <c r="AT9" i="14"/>
  <c r="AS9" i="14"/>
  <c r="AR9" i="14"/>
  <c r="AQ9" i="14"/>
  <c r="AP9" i="14"/>
  <c r="AO9" i="14"/>
  <c r="AN9" i="14"/>
  <c r="AM9" i="14"/>
  <c r="AL9" i="14"/>
  <c r="AK9" i="14"/>
  <c r="AJ9" i="14"/>
  <c r="AT8" i="14"/>
  <c r="AS8" i="14"/>
  <c r="AR8" i="14"/>
  <c r="AQ8" i="14"/>
  <c r="AP8" i="14"/>
  <c r="AO8" i="14"/>
  <c r="AN8" i="14"/>
  <c r="AM8" i="14"/>
  <c r="AL8" i="14"/>
  <c r="AK8" i="14"/>
  <c r="AJ8" i="14"/>
  <c r="AT7" i="14"/>
  <c r="AS7" i="14"/>
  <c r="AR7" i="14"/>
  <c r="AQ7" i="14"/>
  <c r="AP7" i="14"/>
  <c r="AO7" i="14"/>
  <c r="AN7" i="14"/>
  <c r="AM7" i="14"/>
  <c r="AL7" i="14"/>
  <c r="AK7" i="14"/>
  <c r="AJ7" i="14"/>
  <c r="AT6" i="14"/>
  <c r="AS6" i="14"/>
  <c r="AR6" i="14"/>
  <c r="AQ6" i="14"/>
  <c r="AP6" i="14"/>
  <c r="AO6" i="14"/>
  <c r="AN6" i="14"/>
  <c r="AM6" i="14"/>
  <c r="AL6" i="14"/>
  <c r="AK6" i="14"/>
  <c r="AJ6" i="14"/>
  <c r="AT5" i="14"/>
  <c r="AS5" i="14"/>
  <c r="AR5" i="14"/>
  <c r="AQ5" i="14"/>
  <c r="AP5" i="14"/>
  <c r="AO5" i="14"/>
  <c r="AN5" i="14"/>
  <c r="AM5" i="14"/>
  <c r="AL5" i="14"/>
  <c r="AK5" i="14"/>
  <c r="AJ5" i="14"/>
  <c r="AT4" i="14"/>
  <c r="AS4" i="14"/>
  <c r="AR4" i="14"/>
  <c r="AQ4" i="14"/>
  <c r="AP4" i="14"/>
  <c r="AO4" i="14"/>
  <c r="AN4" i="14"/>
  <c r="AM4" i="14"/>
  <c r="AL4" i="14"/>
  <c r="AK4" i="14"/>
  <c r="AJ4" i="14"/>
  <c r="F14" i="13"/>
  <c r="F13" i="13"/>
  <c r="F12" i="13"/>
  <c r="F11" i="13"/>
  <c r="F10" i="13"/>
  <c r="F9" i="13"/>
  <c r="F8" i="13"/>
  <c r="F7" i="13"/>
  <c r="F6" i="13"/>
  <c r="F5" i="13"/>
  <c r="AT13" i="12"/>
  <c r="AS13" i="12"/>
  <c r="AR13" i="12"/>
  <c r="AQ13" i="12"/>
  <c r="AP13" i="12"/>
  <c r="AO13" i="12"/>
  <c r="AN13" i="12"/>
  <c r="AM13" i="12"/>
  <c r="AL13" i="12"/>
  <c r="AK13" i="12"/>
  <c r="AJ13" i="12"/>
  <c r="AT12" i="12"/>
  <c r="AS12" i="12"/>
  <c r="AR12" i="12"/>
  <c r="AQ12" i="12"/>
  <c r="AP12" i="12"/>
  <c r="AO12" i="12"/>
  <c r="AN12" i="12"/>
  <c r="AM12" i="12"/>
  <c r="AL12" i="12"/>
  <c r="AK12" i="12"/>
  <c r="AJ12" i="12"/>
  <c r="AT11" i="12"/>
  <c r="AS11" i="12"/>
  <c r="AR11" i="12"/>
  <c r="AQ11" i="12"/>
  <c r="AP11" i="12"/>
  <c r="AO11" i="12"/>
  <c r="AN11" i="12"/>
  <c r="AM11" i="12"/>
  <c r="AL11" i="12"/>
  <c r="AK11" i="12"/>
  <c r="AJ11" i="12"/>
  <c r="AT10" i="12"/>
  <c r="AS10" i="12"/>
  <c r="AR10" i="12"/>
  <c r="AQ10" i="12"/>
  <c r="AP10" i="12"/>
  <c r="AO10" i="12"/>
  <c r="AN10" i="12"/>
  <c r="AM10" i="12"/>
  <c r="AL10" i="12"/>
  <c r="AK10" i="12"/>
  <c r="AJ10" i="12"/>
  <c r="AT9" i="12"/>
  <c r="AS9" i="12"/>
  <c r="AR9" i="12"/>
  <c r="AQ9" i="12"/>
  <c r="AP9" i="12"/>
  <c r="AO9" i="12"/>
  <c r="AN9" i="12"/>
  <c r="AM9" i="12"/>
  <c r="AL9" i="12"/>
  <c r="AK9" i="12"/>
  <c r="AJ9" i="12"/>
  <c r="AT8" i="12"/>
  <c r="AS8" i="12"/>
  <c r="AR8" i="12"/>
  <c r="AQ8" i="12"/>
  <c r="AP8" i="12"/>
  <c r="AO8" i="12"/>
  <c r="AN8" i="12"/>
  <c r="AM8" i="12"/>
  <c r="AL8" i="12"/>
  <c r="AK8" i="12"/>
  <c r="AJ8" i="12"/>
  <c r="AT7" i="12"/>
  <c r="AS7" i="12"/>
  <c r="AR7" i="12"/>
  <c r="AQ7" i="12"/>
  <c r="AP7" i="12"/>
  <c r="AO7" i="12"/>
  <c r="AN7" i="12"/>
  <c r="AM7" i="12"/>
  <c r="AL7" i="12"/>
  <c r="AK7" i="12"/>
  <c r="AJ7" i="12"/>
  <c r="AT6" i="12"/>
  <c r="AS6" i="12"/>
  <c r="AR6" i="12"/>
  <c r="AQ6" i="12"/>
  <c r="AP6" i="12"/>
  <c r="AO6" i="12"/>
  <c r="AN6" i="12"/>
  <c r="AM6" i="12"/>
  <c r="AL6" i="12"/>
  <c r="AK6" i="12"/>
  <c r="AJ6" i="12"/>
  <c r="AT5" i="12"/>
  <c r="AS5" i="12"/>
  <c r="AR5" i="12"/>
  <c r="AQ5" i="12"/>
  <c r="AP5" i="12"/>
  <c r="AO5" i="12"/>
  <c r="AN5" i="12"/>
  <c r="AM5" i="12"/>
  <c r="AL5" i="12"/>
  <c r="AK5" i="12"/>
  <c r="AJ5" i="12"/>
  <c r="AT4" i="12"/>
  <c r="AS4" i="12"/>
  <c r="AR4" i="12"/>
  <c r="AQ4" i="12"/>
  <c r="AP4" i="12"/>
  <c r="AO4" i="12"/>
  <c r="AN4" i="12"/>
  <c r="AM4" i="12"/>
  <c r="AL4" i="12"/>
  <c r="AK4" i="12"/>
  <c r="AJ4" i="12"/>
  <c r="AT13" i="11"/>
  <c r="AS13" i="11"/>
  <c r="AR13" i="11"/>
  <c r="AQ13" i="11"/>
  <c r="AP13" i="11"/>
  <c r="AO13" i="11"/>
  <c r="AN13" i="11"/>
  <c r="AM13" i="11"/>
  <c r="AL13" i="11"/>
  <c r="AK13" i="11"/>
  <c r="AJ13" i="11"/>
  <c r="AT12" i="11"/>
  <c r="AS12" i="11"/>
  <c r="AR12" i="11"/>
  <c r="AQ12" i="11"/>
  <c r="AP12" i="11"/>
  <c r="AO12" i="11"/>
  <c r="AN12" i="11"/>
  <c r="AM12" i="11"/>
  <c r="AL12" i="11"/>
  <c r="AK12" i="11"/>
  <c r="AJ12" i="11"/>
  <c r="AT11" i="11"/>
  <c r="AS11" i="11"/>
  <c r="AR11" i="11"/>
  <c r="AQ11" i="11"/>
  <c r="AP11" i="11"/>
  <c r="AO11" i="11"/>
  <c r="AN11" i="11"/>
  <c r="AM11" i="11"/>
  <c r="AL11" i="11"/>
  <c r="AK11" i="11"/>
  <c r="AJ11" i="11"/>
  <c r="AT10" i="11"/>
  <c r="AS10" i="11"/>
  <c r="AR10" i="11"/>
  <c r="AQ10" i="11"/>
  <c r="AP10" i="11"/>
  <c r="AO10" i="11"/>
  <c r="AN10" i="11"/>
  <c r="AM10" i="11"/>
  <c r="AL10" i="11"/>
  <c r="AK10" i="11"/>
  <c r="AJ10" i="11"/>
  <c r="AT8" i="11"/>
  <c r="AS8" i="11"/>
  <c r="AR8" i="11"/>
  <c r="AQ8" i="11"/>
  <c r="AP8" i="11"/>
  <c r="AO8" i="11"/>
  <c r="AN8" i="11"/>
  <c r="AM8" i="11"/>
  <c r="AL8" i="11"/>
  <c r="AK8" i="11"/>
  <c r="AJ8" i="11"/>
  <c r="AT7" i="11"/>
  <c r="AS7" i="11"/>
  <c r="AR7" i="11"/>
  <c r="AQ7" i="11"/>
  <c r="AP7" i="11"/>
  <c r="AO7" i="11"/>
  <c r="AN7" i="11"/>
  <c r="AM7" i="11"/>
  <c r="AL7" i="11"/>
  <c r="AK7" i="11"/>
  <c r="AJ7" i="11"/>
  <c r="AT6" i="11"/>
  <c r="AS6" i="11"/>
  <c r="AR6" i="11"/>
  <c r="AQ6" i="11"/>
  <c r="AP6" i="11"/>
  <c r="AO6" i="11"/>
  <c r="AN6" i="11"/>
  <c r="AM6" i="11"/>
  <c r="AL6" i="11"/>
  <c r="AK6" i="11"/>
  <c r="AJ6" i="11"/>
  <c r="AT5" i="11"/>
  <c r="AS5" i="11"/>
  <c r="AR5" i="11"/>
  <c r="AQ5" i="11"/>
  <c r="AP5" i="11"/>
  <c r="AO5" i="11"/>
  <c r="AN5" i="11"/>
  <c r="AM5" i="11"/>
  <c r="AL5" i="11"/>
  <c r="AK5" i="11"/>
  <c r="AJ5" i="11"/>
  <c r="AT4" i="11"/>
  <c r="AS4" i="11"/>
  <c r="AR4" i="11"/>
  <c r="AQ4" i="11"/>
  <c r="AP4" i="11"/>
  <c r="AO4" i="11"/>
  <c r="AN4" i="11"/>
  <c r="AM4" i="11"/>
  <c r="AL4" i="11"/>
  <c r="AK4" i="11"/>
  <c r="AJ4" i="11"/>
  <c r="AT13" i="10"/>
  <c r="AS13" i="10"/>
  <c r="AR13" i="10"/>
  <c r="AQ13" i="10"/>
  <c r="AP13" i="10"/>
  <c r="AO13" i="10"/>
  <c r="AN13" i="10"/>
  <c r="AM13" i="10"/>
  <c r="AL13" i="10"/>
  <c r="AK13" i="10"/>
  <c r="AJ13" i="10"/>
  <c r="AT12" i="10"/>
  <c r="AS12" i="10"/>
  <c r="AR12" i="10"/>
  <c r="AQ12" i="10"/>
  <c r="AP12" i="10"/>
  <c r="AO12" i="10"/>
  <c r="AN12" i="10"/>
  <c r="AM12" i="10"/>
  <c r="AL12" i="10"/>
  <c r="AK12" i="10"/>
  <c r="AJ12" i="10"/>
  <c r="AT11" i="10"/>
  <c r="AS11" i="10"/>
  <c r="AR11" i="10"/>
  <c r="AQ11" i="10"/>
  <c r="AP11" i="10"/>
  <c r="AO11" i="10"/>
  <c r="AN11" i="10"/>
  <c r="AM11" i="10"/>
  <c r="AL11" i="10"/>
  <c r="AK11" i="10"/>
  <c r="AJ11" i="10"/>
  <c r="AT10" i="10"/>
  <c r="AS10" i="10"/>
  <c r="AR10" i="10"/>
  <c r="AQ10" i="10"/>
  <c r="AP10" i="10"/>
  <c r="AO10" i="10"/>
  <c r="AN10" i="10"/>
  <c r="AM10" i="10"/>
  <c r="AL10" i="10"/>
  <c r="AK10" i="10"/>
  <c r="AJ10" i="10"/>
  <c r="AT9" i="10"/>
  <c r="AS9" i="10"/>
  <c r="AR9" i="10"/>
  <c r="AQ9" i="10"/>
  <c r="AP9" i="10"/>
  <c r="AO9" i="10"/>
  <c r="AN9" i="10"/>
  <c r="AM9" i="10"/>
  <c r="AL9" i="10"/>
  <c r="AK9" i="10"/>
  <c r="AJ9" i="10"/>
  <c r="AT8" i="10"/>
  <c r="AS8" i="10"/>
  <c r="AR8" i="10"/>
  <c r="AQ8" i="10"/>
  <c r="AP8" i="10"/>
  <c r="AO8" i="10"/>
  <c r="AN8" i="10"/>
  <c r="AM8" i="10"/>
  <c r="AL8" i="10"/>
  <c r="AK8" i="10"/>
  <c r="AJ8" i="10"/>
  <c r="AT7" i="10"/>
  <c r="AS7" i="10"/>
  <c r="AR7" i="10"/>
  <c r="AQ7" i="10"/>
  <c r="AP7" i="10"/>
  <c r="AO7" i="10"/>
  <c r="AN7" i="10"/>
  <c r="AM7" i="10"/>
  <c r="AL7" i="10"/>
  <c r="AK7" i="10"/>
  <c r="AJ7" i="10"/>
  <c r="AT6" i="10"/>
  <c r="AS6" i="10"/>
  <c r="AR6" i="10"/>
  <c r="AQ6" i="10"/>
  <c r="AP6" i="10"/>
  <c r="AO6" i="10"/>
  <c r="AN6" i="10"/>
  <c r="AM6" i="10"/>
  <c r="AL6" i="10"/>
  <c r="AK6" i="10"/>
  <c r="AJ6" i="10"/>
  <c r="AT5" i="10"/>
  <c r="AS5" i="10"/>
  <c r="AR5" i="10"/>
  <c r="AQ5" i="10"/>
  <c r="AP5" i="10"/>
  <c r="AO5" i="10"/>
  <c r="AN5" i="10"/>
  <c r="AM5" i="10"/>
  <c r="AL5" i="10"/>
  <c r="AK5" i="10"/>
  <c r="AJ5" i="10"/>
  <c r="AT4" i="10"/>
  <c r="AS4" i="10"/>
  <c r="AR4" i="10"/>
  <c r="AQ4" i="10"/>
  <c r="AP4" i="10"/>
  <c r="AO4" i="10"/>
  <c r="AN4" i="10"/>
  <c r="AM4" i="10"/>
  <c r="AL4" i="10"/>
  <c r="AK4" i="10"/>
  <c r="AJ4" i="10"/>
  <c r="AT13" i="8"/>
  <c r="AS13" i="8"/>
  <c r="AR13" i="8"/>
  <c r="AQ13" i="8"/>
  <c r="AP13" i="8"/>
  <c r="AO13" i="8"/>
  <c r="AN13" i="8"/>
  <c r="AM13" i="8"/>
  <c r="AL13" i="8"/>
  <c r="AK13" i="8"/>
  <c r="AJ13" i="8"/>
  <c r="AT12" i="8"/>
  <c r="AS12" i="8"/>
  <c r="AR12" i="8"/>
  <c r="AQ12" i="8"/>
  <c r="AP12" i="8"/>
  <c r="AO12" i="8"/>
  <c r="AN12" i="8"/>
  <c r="AM12" i="8"/>
  <c r="AL12" i="8"/>
  <c r="AK12" i="8"/>
  <c r="AJ12" i="8"/>
  <c r="AT11" i="8"/>
  <c r="AS11" i="8"/>
  <c r="AR11" i="8"/>
  <c r="AQ11" i="8"/>
  <c r="AP11" i="8"/>
  <c r="AO11" i="8"/>
  <c r="AN11" i="8"/>
  <c r="AM11" i="8"/>
  <c r="AL11" i="8"/>
  <c r="AK11" i="8"/>
  <c r="AJ11" i="8"/>
  <c r="AT10" i="8"/>
  <c r="AS10" i="8"/>
  <c r="AR10" i="8"/>
  <c r="AQ10" i="8"/>
  <c r="AP10" i="8"/>
  <c r="AO10" i="8"/>
  <c r="AN10" i="8"/>
  <c r="AM10" i="8"/>
  <c r="AL10" i="8"/>
  <c r="AK10" i="8"/>
  <c r="AJ10" i="8"/>
  <c r="AT9" i="8"/>
  <c r="AS9" i="8"/>
  <c r="AR9" i="8"/>
  <c r="AQ9" i="8"/>
  <c r="AP9" i="8"/>
  <c r="AO9" i="8"/>
  <c r="AN9" i="8"/>
  <c r="AM9" i="8"/>
  <c r="AL9" i="8"/>
  <c r="AK9" i="8"/>
  <c r="AJ9" i="8"/>
  <c r="AT8" i="8"/>
  <c r="AS8" i="8"/>
  <c r="AR8" i="8"/>
  <c r="AQ8" i="8"/>
  <c r="AP8" i="8"/>
  <c r="AO8" i="8"/>
  <c r="AN8" i="8"/>
  <c r="AM8" i="8"/>
  <c r="AL8" i="8"/>
  <c r="AK8" i="8"/>
  <c r="AJ8" i="8"/>
  <c r="AT7" i="8"/>
  <c r="AS7" i="8"/>
  <c r="AR7" i="8"/>
  <c r="AQ7" i="8"/>
  <c r="AP7" i="8"/>
  <c r="AO7" i="8"/>
  <c r="AN7" i="8"/>
  <c r="AM7" i="8"/>
  <c r="AL7" i="8"/>
  <c r="AK7" i="8"/>
  <c r="AJ7" i="8"/>
  <c r="AT6" i="8"/>
  <c r="AS6" i="8"/>
  <c r="AR6" i="8"/>
  <c r="AQ6" i="8"/>
  <c r="AP6" i="8"/>
  <c r="AO6" i="8"/>
  <c r="AN6" i="8"/>
  <c r="AM6" i="8"/>
  <c r="AL6" i="8"/>
  <c r="AK6" i="8"/>
  <c r="AJ6" i="8"/>
  <c r="AT5" i="8"/>
  <c r="AS5" i="8"/>
  <c r="AR5" i="8"/>
  <c r="AQ5" i="8"/>
  <c r="AP5" i="8"/>
  <c r="AO5" i="8"/>
  <c r="AN5" i="8"/>
  <c r="AM5" i="8"/>
  <c r="AL5" i="8"/>
  <c r="AK5" i="8"/>
  <c r="AJ5" i="8"/>
  <c r="AT4" i="8"/>
  <c r="AS4" i="8"/>
  <c r="AR4" i="8"/>
  <c r="AQ4" i="8"/>
  <c r="AP4" i="8"/>
  <c r="AO4" i="8"/>
  <c r="AN4" i="8"/>
  <c r="AM4" i="8"/>
  <c r="AL4" i="8"/>
  <c r="AK4" i="8"/>
  <c r="AJ4" i="8"/>
  <c r="AJ4" i="7"/>
  <c r="AT13" i="7"/>
  <c r="AS13" i="7"/>
  <c r="AR13" i="7"/>
  <c r="AQ13" i="7"/>
  <c r="AP13" i="7"/>
  <c r="AO13" i="7"/>
  <c r="AN13" i="7"/>
  <c r="AM13" i="7"/>
  <c r="AL13" i="7"/>
  <c r="AK13" i="7"/>
  <c r="AJ13" i="7"/>
  <c r="AT12" i="7"/>
  <c r="AS12" i="7"/>
  <c r="AR12" i="7"/>
  <c r="AQ12" i="7"/>
  <c r="AP12" i="7"/>
  <c r="AO12" i="7"/>
  <c r="AN12" i="7"/>
  <c r="AM12" i="7"/>
  <c r="AL12" i="7"/>
  <c r="AK12" i="7"/>
  <c r="AJ12" i="7"/>
  <c r="AT11" i="7"/>
  <c r="AS11" i="7"/>
  <c r="AR11" i="7"/>
  <c r="AQ11" i="7"/>
  <c r="AP11" i="7"/>
  <c r="AO11" i="7"/>
  <c r="AN11" i="7"/>
  <c r="AM11" i="7"/>
  <c r="AL11" i="7"/>
  <c r="AK11" i="7"/>
  <c r="AJ11" i="7"/>
  <c r="AT10" i="7"/>
  <c r="AS10" i="7"/>
  <c r="AR10" i="7"/>
  <c r="AQ10" i="7"/>
  <c r="AP10" i="7"/>
  <c r="AO10" i="7"/>
  <c r="AN10" i="7"/>
  <c r="AM10" i="7"/>
  <c r="AL10" i="7"/>
  <c r="AK10" i="7"/>
  <c r="AJ10" i="7"/>
  <c r="AT9" i="7"/>
  <c r="AS9" i="7"/>
  <c r="AR9" i="7"/>
  <c r="AQ9" i="7"/>
  <c r="AP9" i="7"/>
  <c r="AO9" i="7"/>
  <c r="AN9" i="7"/>
  <c r="AM9" i="7"/>
  <c r="AL9" i="7"/>
  <c r="AK9" i="7"/>
  <c r="AJ9" i="7"/>
  <c r="AT8" i="7"/>
  <c r="AS8" i="7"/>
  <c r="AR8" i="7"/>
  <c r="AQ8" i="7"/>
  <c r="AP8" i="7"/>
  <c r="AO8" i="7"/>
  <c r="AN8" i="7"/>
  <c r="AM8" i="7"/>
  <c r="AL8" i="7"/>
  <c r="AK8" i="7"/>
  <c r="AJ8" i="7"/>
  <c r="AT7" i="7"/>
  <c r="AS7" i="7"/>
  <c r="AR7" i="7"/>
  <c r="AQ7" i="7"/>
  <c r="AP7" i="7"/>
  <c r="AO7" i="7"/>
  <c r="AN7" i="7"/>
  <c r="AM7" i="7"/>
  <c r="AL7" i="7"/>
  <c r="AK7" i="7"/>
  <c r="AJ7" i="7"/>
  <c r="AT6" i="7"/>
  <c r="AS6" i="7"/>
  <c r="AR6" i="7"/>
  <c r="AQ6" i="7"/>
  <c r="AP6" i="7"/>
  <c r="AO6" i="7"/>
  <c r="AN6" i="7"/>
  <c r="AM6" i="7"/>
  <c r="AL6" i="7"/>
  <c r="AK6" i="7"/>
  <c r="AJ6" i="7"/>
  <c r="AT5" i="7"/>
  <c r="AS5" i="7"/>
  <c r="AR5" i="7"/>
  <c r="AQ5" i="7"/>
  <c r="AP5" i="7"/>
  <c r="AO5" i="7"/>
  <c r="AN5" i="7"/>
  <c r="AM5" i="7"/>
  <c r="AL5" i="7"/>
  <c r="AK5" i="7"/>
  <c r="AJ5" i="7"/>
  <c r="AT4" i="7"/>
  <c r="AS4" i="7"/>
  <c r="AR4" i="7"/>
  <c r="AQ4" i="7"/>
  <c r="AP4" i="7"/>
  <c r="AO4" i="7"/>
  <c r="AN4" i="7"/>
  <c r="AM4" i="7"/>
  <c r="AL4" i="7"/>
  <c r="AK4" i="7"/>
  <c r="J8" i="13" l="1"/>
  <c r="K8" i="13" s="1"/>
  <c r="J9" i="13"/>
  <c r="K9" i="13" s="1"/>
  <c r="P13" i="13"/>
  <c r="P14" i="13"/>
  <c r="J11" i="13"/>
  <c r="K11" i="13" s="1"/>
  <c r="J10" i="13"/>
  <c r="K10" i="13" s="1"/>
  <c r="P9" i="13"/>
  <c r="P6" i="13"/>
  <c r="J6" i="13"/>
  <c r="K6" i="13" s="1"/>
  <c r="J5" i="13"/>
  <c r="K5" i="13" s="1"/>
  <c r="L5" i="13"/>
  <c r="N5" i="13"/>
  <c r="P5" i="13"/>
  <c r="P11" i="13"/>
  <c r="J14" i="13"/>
  <c r="K14" i="13" s="1"/>
  <c r="P12" i="13"/>
  <c r="J12" i="13"/>
  <c r="K12" i="13" s="1"/>
  <c r="J13" i="13"/>
  <c r="K13" i="13" s="1"/>
  <c r="P10" i="13"/>
  <c r="J7" i="13"/>
  <c r="K7" i="13" s="1"/>
  <c r="P7" i="13"/>
  <c r="P8" i="13"/>
  <c r="AU5" i="15"/>
  <c r="AU13" i="15"/>
  <c r="AU10" i="15"/>
  <c r="AU11" i="15"/>
  <c r="AU6" i="15"/>
  <c r="AU8" i="15"/>
  <c r="AU9" i="15"/>
  <c r="AU7" i="15"/>
  <c r="AU13" i="16"/>
  <c r="AU12" i="16"/>
  <c r="AU11" i="16"/>
  <c r="AU10" i="16"/>
  <c r="AU9" i="16"/>
  <c r="AU6" i="16"/>
  <c r="AU5" i="16"/>
  <c r="AU4" i="16"/>
  <c r="AU8" i="16"/>
  <c r="AU4" i="15"/>
  <c r="AU12" i="15"/>
  <c r="AU7" i="16"/>
  <c r="AU6" i="17"/>
  <c r="AU9" i="17"/>
  <c r="AU4" i="17"/>
  <c r="AU12" i="17"/>
  <c r="AU7" i="17"/>
  <c r="AU10" i="17"/>
  <c r="AU5" i="17"/>
  <c r="AU13" i="17"/>
  <c r="AU8" i="17"/>
  <c r="AU11" i="17"/>
  <c r="AU4" i="14"/>
  <c r="AU12" i="14"/>
  <c r="AU5" i="14"/>
  <c r="AU13" i="14"/>
  <c r="AU8" i="14"/>
  <c r="AU7" i="14"/>
  <c r="AU11" i="14"/>
  <c r="AU6" i="14"/>
  <c r="AU10" i="14"/>
  <c r="AU9" i="14"/>
  <c r="AU5" i="12"/>
  <c r="AU11" i="12"/>
  <c r="AU8" i="12"/>
  <c r="AU9" i="12"/>
  <c r="AU6" i="12"/>
  <c r="AU7" i="12"/>
  <c r="AU4" i="12"/>
  <c r="AU12" i="12"/>
  <c r="AU13" i="12"/>
  <c r="AU10" i="12"/>
  <c r="AQ9" i="11"/>
  <c r="AP9" i="11"/>
  <c r="AO9" i="11"/>
  <c r="AN9" i="11"/>
  <c r="AM9" i="11"/>
  <c r="AR9" i="11"/>
  <c r="AT9" i="11"/>
  <c r="AL9" i="11"/>
  <c r="AS9" i="11"/>
  <c r="AK9" i="11"/>
  <c r="AJ9" i="11"/>
  <c r="AU7" i="11"/>
  <c r="AU6" i="11"/>
  <c r="AU4" i="11"/>
  <c r="AU11" i="11"/>
  <c r="AU12" i="11"/>
  <c r="AU5" i="11"/>
  <c r="AU13" i="11"/>
  <c r="AU10" i="11"/>
  <c r="AU8" i="11"/>
  <c r="AU4" i="10"/>
  <c r="AU5" i="10"/>
  <c r="AU6" i="10"/>
  <c r="AU11" i="10"/>
  <c r="AU12" i="10"/>
  <c r="AU10" i="10"/>
  <c r="AU13" i="10"/>
  <c r="AU9" i="10"/>
  <c r="AU7" i="10"/>
  <c r="AU8" i="10"/>
  <c r="AU8" i="8"/>
  <c r="AU5" i="8"/>
  <c r="AU11" i="8"/>
  <c r="AU12" i="8"/>
  <c r="AU6" i="8"/>
  <c r="AU4" i="8"/>
  <c r="AU9" i="8"/>
  <c r="AU10" i="8"/>
  <c r="AU13" i="8"/>
  <c r="AU7" i="8"/>
  <c r="AU9" i="7"/>
  <c r="AU7" i="7"/>
  <c r="AU5" i="7"/>
  <c r="AU6" i="7"/>
  <c r="AU11" i="7"/>
  <c r="AU12" i="7"/>
  <c r="AU4" i="7"/>
  <c r="AU10" i="7"/>
  <c r="AU13" i="7"/>
  <c r="AU8" i="7"/>
  <c r="AU9" i="11" l="1"/>
  <c r="AT13" i="5"/>
  <c r="AS13" i="5"/>
  <c r="AR13" i="5"/>
  <c r="AQ13" i="5"/>
  <c r="AP13" i="5"/>
  <c r="AO13" i="5"/>
  <c r="AN13" i="5"/>
  <c r="AM13" i="5"/>
  <c r="AL13" i="5"/>
  <c r="AK13" i="5"/>
  <c r="AJ13" i="5"/>
  <c r="AT12" i="5"/>
  <c r="AS12" i="5"/>
  <c r="AR12" i="5"/>
  <c r="AQ12" i="5"/>
  <c r="AP12" i="5"/>
  <c r="AO12" i="5"/>
  <c r="AN12" i="5"/>
  <c r="AM12" i="5"/>
  <c r="AL12" i="5"/>
  <c r="AK12" i="5"/>
  <c r="AJ12" i="5"/>
  <c r="AT11" i="5"/>
  <c r="AS11" i="5"/>
  <c r="AR11" i="5"/>
  <c r="AQ11" i="5"/>
  <c r="AP11" i="5"/>
  <c r="AO11" i="5"/>
  <c r="AN11" i="5"/>
  <c r="AM11" i="5"/>
  <c r="AL11" i="5"/>
  <c r="AK11" i="5"/>
  <c r="AJ11" i="5"/>
  <c r="AT10" i="5"/>
  <c r="AS10" i="5"/>
  <c r="AR10" i="5"/>
  <c r="AQ10" i="5"/>
  <c r="AP10" i="5"/>
  <c r="AO10" i="5"/>
  <c r="AN10" i="5"/>
  <c r="AM10" i="5"/>
  <c r="AL10" i="5"/>
  <c r="AK10" i="5"/>
  <c r="AJ10" i="5"/>
  <c r="AT9" i="5"/>
  <c r="AS9" i="5"/>
  <c r="AR9" i="5"/>
  <c r="AQ9" i="5"/>
  <c r="AP9" i="5"/>
  <c r="AO9" i="5"/>
  <c r="AN9" i="5"/>
  <c r="AM9" i="5"/>
  <c r="AL9" i="5"/>
  <c r="AK9" i="5"/>
  <c r="AJ9" i="5"/>
  <c r="AT8" i="5"/>
  <c r="AS8" i="5"/>
  <c r="AR8" i="5"/>
  <c r="AQ8" i="5"/>
  <c r="AP8" i="5"/>
  <c r="AO8" i="5"/>
  <c r="AN8" i="5"/>
  <c r="AM8" i="5"/>
  <c r="AL8" i="5"/>
  <c r="AK8" i="5"/>
  <c r="AJ8" i="5"/>
  <c r="AT7" i="5"/>
  <c r="AS7" i="5"/>
  <c r="AR7" i="5"/>
  <c r="AQ7" i="5"/>
  <c r="AP7" i="5"/>
  <c r="AO7" i="5"/>
  <c r="AN7" i="5"/>
  <c r="AM7" i="5"/>
  <c r="AL7" i="5"/>
  <c r="AK7" i="5"/>
  <c r="AJ7" i="5"/>
  <c r="AT6" i="5"/>
  <c r="AS6" i="5"/>
  <c r="AR6" i="5"/>
  <c r="AQ6" i="5"/>
  <c r="AP6" i="5"/>
  <c r="AN6" i="5"/>
  <c r="AM6" i="5"/>
  <c r="AL6" i="5"/>
  <c r="AK6" i="5"/>
  <c r="AJ6" i="5"/>
  <c r="AT5" i="5"/>
  <c r="AS5" i="5"/>
  <c r="AR5" i="5"/>
  <c r="AQ5" i="5"/>
  <c r="AP5" i="5"/>
  <c r="AO5" i="5"/>
  <c r="AN5" i="5"/>
  <c r="AM5" i="5"/>
  <c r="AL5" i="5"/>
  <c r="AK5" i="5"/>
  <c r="AJ5" i="5"/>
  <c r="AT4" i="5"/>
  <c r="AS4" i="5"/>
  <c r="AR4" i="5"/>
  <c r="AQ4" i="5"/>
  <c r="AP4" i="5"/>
  <c r="AO4" i="5"/>
  <c r="AN4" i="5"/>
  <c r="AM4" i="5"/>
  <c r="AL4" i="5"/>
  <c r="AK4" i="5"/>
  <c r="AJ4" i="5"/>
  <c r="AU6" i="5" l="1"/>
  <c r="AU9" i="5"/>
  <c r="AU4" i="5"/>
  <c r="AU10" i="5"/>
  <c r="AU7" i="5"/>
  <c r="AU13" i="5"/>
  <c r="AU8" i="5"/>
  <c r="AU12" i="5"/>
  <c r="AU5" i="5"/>
  <c r="AU11" i="5"/>
  <c r="AL4" i="3"/>
  <c r="AM6" i="3"/>
  <c r="AJ4" i="3"/>
  <c r="AT13" i="3"/>
  <c r="AS13" i="3"/>
  <c r="AR13" i="3"/>
  <c r="AQ13" i="3"/>
  <c r="AP13" i="3"/>
  <c r="AO13" i="3"/>
  <c r="AN13" i="3"/>
  <c r="AM13" i="3"/>
  <c r="AL13" i="3"/>
  <c r="AK13" i="3"/>
  <c r="AJ13" i="3"/>
  <c r="AT12" i="3"/>
  <c r="AS12" i="3"/>
  <c r="AR12" i="3"/>
  <c r="AQ12" i="3"/>
  <c r="AP12" i="3"/>
  <c r="AO12" i="3"/>
  <c r="AN12" i="3"/>
  <c r="AM12" i="3"/>
  <c r="AL12" i="3"/>
  <c r="AK12" i="3"/>
  <c r="AJ12" i="3"/>
  <c r="AT11" i="3"/>
  <c r="AS11" i="3"/>
  <c r="AR11" i="3"/>
  <c r="AQ11" i="3"/>
  <c r="AP11" i="3"/>
  <c r="AO11" i="3"/>
  <c r="AN11" i="3"/>
  <c r="AM11" i="3"/>
  <c r="AL11" i="3"/>
  <c r="AK11" i="3"/>
  <c r="AJ11" i="3"/>
  <c r="AT10" i="3"/>
  <c r="AS10" i="3"/>
  <c r="AR10" i="3"/>
  <c r="AQ10" i="3"/>
  <c r="AP10" i="3"/>
  <c r="AO10" i="3"/>
  <c r="AN10" i="3"/>
  <c r="AM10" i="3"/>
  <c r="AL10" i="3"/>
  <c r="AK10" i="3"/>
  <c r="AJ10" i="3"/>
  <c r="AT9" i="3"/>
  <c r="AS9" i="3"/>
  <c r="AR9" i="3"/>
  <c r="AQ9" i="3"/>
  <c r="AP9" i="3"/>
  <c r="AO9" i="3"/>
  <c r="AN9" i="3"/>
  <c r="AM9" i="3"/>
  <c r="AL9" i="3"/>
  <c r="AK9" i="3"/>
  <c r="AJ9" i="3"/>
  <c r="AT8" i="3"/>
  <c r="AS8" i="3"/>
  <c r="AR8" i="3"/>
  <c r="AQ8" i="3"/>
  <c r="AP8" i="3"/>
  <c r="AO8" i="3"/>
  <c r="AN8" i="3"/>
  <c r="AM8" i="3"/>
  <c r="AL8" i="3"/>
  <c r="AK8" i="3"/>
  <c r="AJ8" i="3"/>
  <c r="AT7" i="3"/>
  <c r="AS7" i="3"/>
  <c r="AR7" i="3"/>
  <c r="AQ7" i="3"/>
  <c r="AP7" i="3"/>
  <c r="AO7" i="3"/>
  <c r="AN7" i="3"/>
  <c r="AM7" i="3"/>
  <c r="AL7" i="3"/>
  <c r="AK7" i="3"/>
  <c r="AJ7" i="3"/>
  <c r="AT6" i="3"/>
  <c r="AS6" i="3"/>
  <c r="AR6" i="3"/>
  <c r="AQ6" i="3"/>
  <c r="AP6" i="3"/>
  <c r="AO6" i="3"/>
  <c r="AN6" i="3"/>
  <c r="AL6" i="3"/>
  <c r="AK6" i="3"/>
  <c r="AJ6" i="3"/>
  <c r="AT5" i="3"/>
  <c r="AS5" i="3"/>
  <c r="AR5" i="3"/>
  <c r="AQ5" i="3"/>
  <c r="AP5" i="3"/>
  <c r="AO5" i="3"/>
  <c r="AN5" i="3"/>
  <c r="AM5" i="3"/>
  <c r="AL5" i="3"/>
  <c r="AK5" i="3"/>
  <c r="AJ5" i="3"/>
  <c r="AT4" i="3"/>
  <c r="AS4" i="3"/>
  <c r="AR4" i="3"/>
  <c r="AQ4" i="3"/>
  <c r="AP4" i="3"/>
  <c r="AO4" i="3"/>
  <c r="AN4" i="3"/>
  <c r="AM4" i="3"/>
  <c r="AK4" i="3"/>
  <c r="AU12" i="3" l="1"/>
  <c r="AU9" i="3"/>
  <c r="AU6" i="3"/>
  <c r="AU4" i="3"/>
  <c r="AU7" i="3"/>
  <c r="AU10" i="3"/>
  <c r="AU13" i="3"/>
  <c r="AU5" i="3"/>
  <c r="AU8" i="3"/>
  <c r="AU11" i="3"/>
  <c r="AN11" i="2" l="1"/>
  <c r="AT4" i="2"/>
  <c r="AT5" i="2"/>
  <c r="AT6" i="2"/>
  <c r="AT7" i="2"/>
  <c r="AT8" i="2"/>
  <c r="AT9" i="2"/>
  <c r="AT10" i="2"/>
  <c r="AT11" i="2"/>
  <c r="AT12" i="2"/>
  <c r="AT13" i="2"/>
  <c r="AS4" i="2"/>
  <c r="AS5" i="2"/>
  <c r="AS6" i="2"/>
  <c r="AS7" i="2"/>
  <c r="AS8" i="2"/>
  <c r="AS9" i="2"/>
  <c r="AS10" i="2"/>
  <c r="AS11" i="2"/>
  <c r="AS12" i="2"/>
  <c r="AS13" i="2"/>
  <c r="AR5" i="2"/>
  <c r="R6" i="13" s="1"/>
  <c r="S6" i="13" s="1"/>
  <c r="AR6" i="2"/>
  <c r="R7" i="13" s="1"/>
  <c r="S7" i="13" s="1"/>
  <c r="AR7" i="2"/>
  <c r="R8" i="13" s="1"/>
  <c r="AR8" i="2"/>
  <c r="R9" i="13" s="1"/>
  <c r="S9" i="13" s="1"/>
  <c r="AR9" i="2"/>
  <c r="R10" i="13" s="1"/>
  <c r="AR10" i="2"/>
  <c r="R11" i="13" s="1"/>
  <c r="S11" i="13" s="1"/>
  <c r="AR11" i="2"/>
  <c r="R12" i="13" s="1"/>
  <c r="S12" i="13" s="1"/>
  <c r="AR12" i="2"/>
  <c r="R13" i="13" s="1"/>
  <c r="S13" i="13" s="1"/>
  <c r="AR13" i="2"/>
  <c r="R14" i="13" s="1"/>
  <c r="S14" i="13" s="1"/>
  <c r="AR4" i="2"/>
  <c r="R5" i="13" s="1"/>
  <c r="AQ5" i="2"/>
  <c r="AQ6" i="2"/>
  <c r="AQ7" i="2"/>
  <c r="AQ8" i="2"/>
  <c r="AQ9" i="2"/>
  <c r="AQ10" i="2"/>
  <c r="AQ11" i="2"/>
  <c r="AQ12" i="2"/>
  <c r="AQ13" i="2"/>
  <c r="AQ4" i="2"/>
  <c r="AP5" i="2"/>
  <c r="N6" i="13" s="1"/>
  <c r="O6" i="13" s="1"/>
  <c r="AP6" i="2"/>
  <c r="N7" i="13" s="1"/>
  <c r="O7" i="13" s="1"/>
  <c r="AP7" i="2"/>
  <c r="N8" i="13" s="1"/>
  <c r="O8" i="13" s="1"/>
  <c r="AP8" i="2"/>
  <c r="N9" i="13" s="1"/>
  <c r="O9" i="13" s="1"/>
  <c r="AP9" i="2"/>
  <c r="N10" i="13" s="1"/>
  <c r="O10" i="13" s="1"/>
  <c r="AP10" i="2"/>
  <c r="N11" i="13" s="1"/>
  <c r="O11" i="13" s="1"/>
  <c r="AP11" i="2"/>
  <c r="N12" i="13" s="1"/>
  <c r="O12" i="13" s="1"/>
  <c r="AP12" i="2"/>
  <c r="N13" i="13" s="1"/>
  <c r="O13" i="13" s="1"/>
  <c r="AP13" i="2"/>
  <c r="N14" i="13" s="1"/>
  <c r="O14" i="13" s="1"/>
  <c r="AP4" i="2"/>
  <c r="O5" i="13" s="1"/>
  <c r="AO5" i="2"/>
  <c r="AO6" i="2"/>
  <c r="AO7" i="2"/>
  <c r="AO8" i="2"/>
  <c r="AO9" i="2"/>
  <c r="AO10" i="2"/>
  <c r="AO11" i="2"/>
  <c r="AO12" i="2"/>
  <c r="AO13" i="2"/>
  <c r="AO4" i="2"/>
  <c r="M5" i="13" s="1"/>
  <c r="AN5" i="2"/>
  <c r="AN6" i="2"/>
  <c r="AN7" i="2"/>
  <c r="AN8" i="2"/>
  <c r="AN9" i="2"/>
  <c r="AN10" i="2"/>
  <c r="AN12" i="2"/>
  <c r="AN13" i="2"/>
  <c r="AN4" i="2"/>
  <c r="AM5" i="2"/>
  <c r="AM6" i="2"/>
  <c r="AM7" i="2"/>
  <c r="AM8" i="2"/>
  <c r="AM9" i="2"/>
  <c r="AM10" i="2"/>
  <c r="AM11" i="2"/>
  <c r="AM12" i="2"/>
  <c r="AM13" i="2"/>
  <c r="AM4" i="2"/>
  <c r="AL5" i="2"/>
  <c r="AL6" i="2"/>
  <c r="AL7" i="2"/>
  <c r="AL8" i="2"/>
  <c r="AL9" i="2"/>
  <c r="AL10" i="2"/>
  <c r="AL11" i="2"/>
  <c r="AL12" i="2"/>
  <c r="AL13" i="2"/>
  <c r="AL4" i="2"/>
  <c r="AK5" i="2"/>
  <c r="AK6" i="2"/>
  <c r="AK7" i="2"/>
  <c r="AK8" i="2"/>
  <c r="AK9" i="2"/>
  <c r="AK10" i="2"/>
  <c r="AK11" i="2"/>
  <c r="AK12" i="2"/>
  <c r="AK13" i="2"/>
  <c r="AK4" i="2"/>
  <c r="AJ5" i="2"/>
  <c r="AJ6" i="2"/>
  <c r="AJ7" i="2"/>
  <c r="AJ8" i="2"/>
  <c r="AJ9" i="2"/>
  <c r="AJ10" i="2"/>
  <c r="AJ11" i="2"/>
  <c r="AJ12" i="2"/>
  <c r="AJ13" i="2"/>
  <c r="AJ4" i="2"/>
  <c r="L11" i="13" l="1"/>
  <c r="M11" i="13" s="1"/>
  <c r="L10" i="13"/>
  <c r="M10" i="13" s="1"/>
  <c r="L8" i="13"/>
  <c r="M8" i="13" s="1"/>
  <c r="L9" i="13"/>
  <c r="M9" i="13" s="1"/>
  <c r="L7" i="13"/>
  <c r="M7" i="13" s="1"/>
  <c r="L14" i="13"/>
  <c r="M14" i="13" s="1"/>
  <c r="L6" i="13"/>
  <c r="M6" i="13" s="1"/>
  <c r="Q10" i="13"/>
  <c r="L12" i="13"/>
  <c r="M12" i="13" s="1"/>
  <c r="Q8" i="13"/>
  <c r="L13" i="13"/>
  <c r="M13" i="13" s="1"/>
  <c r="Q5" i="13"/>
  <c r="AU12" i="2"/>
  <c r="AU11" i="2"/>
  <c r="AU10" i="2"/>
  <c r="AU7" i="2"/>
  <c r="AU8" i="2"/>
  <c r="AU4" i="2"/>
  <c r="AU6" i="2"/>
  <c r="AU13" i="2"/>
  <c r="AU5" i="2"/>
  <c r="AU9" i="2"/>
</calcChain>
</file>

<file path=xl/sharedStrings.xml><?xml version="1.0" encoding="utf-8"?>
<sst xmlns="http://schemas.openxmlformats.org/spreadsheetml/2006/main" count="1822" uniqueCount="146">
  <si>
    <t xml:space="preserve"> Month</t>
  </si>
  <si>
    <t xml:space="preserve">Present </t>
  </si>
  <si>
    <t xml:space="preserve">Absent </t>
  </si>
  <si>
    <t>Half day</t>
  </si>
  <si>
    <t>Training</t>
  </si>
  <si>
    <t xml:space="preserve">Casual Leave </t>
  </si>
  <si>
    <t xml:space="preserve">Sick Leave </t>
  </si>
  <si>
    <t>Annual Leave</t>
  </si>
  <si>
    <t xml:space="preserve">Maternity Leave </t>
  </si>
  <si>
    <t>Paternity Leave</t>
  </si>
  <si>
    <t xml:space="preserve">Work Feom Home </t>
  </si>
  <si>
    <t>National Holiday</t>
  </si>
  <si>
    <t>Total</t>
  </si>
  <si>
    <t>Employee Name</t>
  </si>
  <si>
    <t>ID</t>
  </si>
  <si>
    <t>Tue</t>
  </si>
  <si>
    <t>Wed</t>
  </si>
  <si>
    <t>Thu</t>
  </si>
  <si>
    <t>Fri</t>
  </si>
  <si>
    <t>Sat</t>
  </si>
  <si>
    <t>Sun</t>
  </si>
  <si>
    <t>Mon</t>
  </si>
  <si>
    <t>P</t>
  </si>
  <si>
    <t>A</t>
  </si>
  <si>
    <t>H</t>
  </si>
  <si>
    <t>TR</t>
  </si>
  <si>
    <t>CL</t>
  </si>
  <si>
    <t>SL</t>
  </si>
  <si>
    <t>AL</t>
  </si>
  <si>
    <t>ML</t>
  </si>
  <si>
    <t>PL</t>
  </si>
  <si>
    <t>WFH</t>
  </si>
  <si>
    <t>NH</t>
  </si>
  <si>
    <t>Nyinimuntu Angela</t>
  </si>
  <si>
    <t>Joseph Opolot</t>
  </si>
  <si>
    <t>Moses Ikwara</t>
  </si>
  <si>
    <t>Hawa Sirikye</t>
  </si>
  <si>
    <t>Aneesh Mathew</t>
  </si>
  <si>
    <t>Atim Bernadatte</t>
  </si>
  <si>
    <t>Kawunde Paul</t>
  </si>
  <si>
    <t>Lubega Joel Brian</t>
  </si>
  <si>
    <t>Joseph Wetaka Wandega</t>
  </si>
  <si>
    <t xml:space="preserve">Solomon Kiwunda </t>
  </si>
  <si>
    <t>VUEMP001</t>
  </si>
  <si>
    <t>VUEMP002</t>
  </si>
  <si>
    <t>VUEMP004</t>
  </si>
  <si>
    <t>VUEMP005</t>
  </si>
  <si>
    <t>VUEMP008</t>
  </si>
  <si>
    <t>VUEMP009</t>
  </si>
  <si>
    <t>VUEMP011</t>
  </si>
  <si>
    <t>VUEMP015</t>
  </si>
  <si>
    <t>VUEMP017</t>
  </si>
  <si>
    <t>VUEMP018</t>
  </si>
  <si>
    <t>AB</t>
  </si>
  <si>
    <t>SL No</t>
  </si>
  <si>
    <t>STAFF ID</t>
  </si>
  <si>
    <t>Name</t>
  </si>
  <si>
    <t>Designation</t>
  </si>
  <si>
    <t>Contact Number</t>
  </si>
  <si>
    <t>Date of Birth</t>
  </si>
  <si>
    <t>Joining Date</t>
  </si>
  <si>
    <t>Nyinimuntu Angella</t>
  </si>
  <si>
    <t>Sales  Manager</t>
  </si>
  <si>
    <t>+256 773 004908</t>
  </si>
  <si>
    <t>24/10/1988</t>
  </si>
  <si>
    <t>Finance Manager</t>
  </si>
  <si>
    <t>+256 701 179851</t>
  </si>
  <si>
    <t>26/04/1977</t>
  </si>
  <si>
    <t>Ware House Executive</t>
  </si>
  <si>
    <t>+256 772 900196</t>
  </si>
  <si>
    <t>23/09/1977</t>
  </si>
  <si>
    <t>Front Office Executive</t>
  </si>
  <si>
    <t>+256 755 229943</t>
  </si>
  <si>
    <t>30/04/1991</t>
  </si>
  <si>
    <t>Country Manager</t>
  </si>
  <si>
    <t>+256 709167800</t>
  </si>
  <si>
    <t>07/08/1984</t>
  </si>
  <si>
    <t>Atim Bernadette</t>
  </si>
  <si>
    <t>Office Assistant</t>
  </si>
  <si>
    <t>+256 786 135912</t>
  </si>
  <si>
    <t>01/04/1996</t>
  </si>
  <si>
    <t>Business Development Executive</t>
  </si>
  <si>
    <t>+256 780 610392</t>
  </si>
  <si>
    <t>29/12/1994</t>
  </si>
  <si>
    <t>+256 784 042269</t>
  </si>
  <si>
    <t>04/12/1988</t>
  </si>
  <si>
    <t>+256 771 456994</t>
  </si>
  <si>
    <t>19/02/1993</t>
  </si>
  <si>
    <t>Solomon Kiwunda</t>
  </si>
  <si>
    <t>+256 770 774150</t>
  </si>
  <si>
    <t>26/07/1996</t>
  </si>
  <si>
    <t>HD</t>
  </si>
  <si>
    <t>WH</t>
  </si>
  <si>
    <t>LEAVE APPLICATION FORM</t>
  </si>
  <si>
    <t xml:space="preserve">Employee’s details </t>
  </si>
  <si>
    <t>First name:</t>
  </si>
  <si>
    <t>Surname:</t>
  </si>
  <si>
    <t>Designation:</t>
  </si>
  <si>
    <t>Contact No.</t>
  </si>
  <si>
    <t>Leave type</t>
  </si>
  <si>
    <t>Code</t>
  </si>
  <si>
    <t>Availed</t>
  </si>
  <si>
    <t>Balance</t>
  </si>
  <si>
    <t>Annual Leave (full pay)</t>
  </si>
  <si>
    <t>Unpaid Leave</t>
  </si>
  <si>
    <t>Sick Leave</t>
  </si>
  <si>
    <t>One Month</t>
  </si>
  <si>
    <t>Maternity Leave</t>
  </si>
  <si>
    <t>Two Month</t>
  </si>
  <si>
    <t>Leave without pay</t>
  </si>
  <si>
    <t>Others</t>
  </si>
  <si>
    <t>Period of leave</t>
  </si>
  <si>
    <t>No of Days</t>
  </si>
  <si>
    <t>Signature of Employee:</t>
  </si>
  <si>
    <t>Approved/Not approved:</t>
  </si>
  <si>
    <t>Name of Manager/Supervisor:</t>
  </si>
  <si>
    <t>Signature of Manager/Supervisor:</t>
  </si>
  <si>
    <t>Requested</t>
  </si>
  <si>
    <t>Entitiled</t>
  </si>
  <si>
    <t>Date of Application</t>
  </si>
  <si>
    <t>Date of Approval</t>
  </si>
  <si>
    <t>-</t>
  </si>
  <si>
    <t>21 Days</t>
  </si>
  <si>
    <t>4 Days</t>
  </si>
  <si>
    <t xml:space="preserve">            /              /</t>
  </si>
  <si>
    <r>
      <t>Leave from</t>
    </r>
    <r>
      <rPr>
        <sz val="8"/>
        <color rgb="FF000000"/>
        <rFont val="Arial"/>
        <family val="2"/>
      </rPr>
      <t>:(DD/MM/YYYY)</t>
    </r>
  </si>
  <si>
    <r>
      <t xml:space="preserve">    Leave To:</t>
    </r>
    <r>
      <rPr>
        <sz val="9"/>
        <color rgb="FF000000"/>
        <rFont val="Arial"/>
        <family val="2"/>
      </rPr>
      <t>(DD/MM/YYYY)</t>
    </r>
  </si>
  <si>
    <t>solomon.kiwunda@visionscientificafrica.com</t>
  </si>
  <si>
    <t>joseph.wandega@visionscientificafrica.com</t>
  </si>
  <si>
    <t>brian.lubega@visionscientificafrica.com</t>
  </si>
  <si>
    <t>hawa.nasinza@visionscientificafrica.com</t>
  </si>
  <si>
    <t>angela.nyinimuntu@visionscientificafrica.com</t>
  </si>
  <si>
    <t>aneesh.mathew@visionscientificafrica.com</t>
  </si>
  <si>
    <t>paul.kawunde@visionscientificafrica.com</t>
  </si>
  <si>
    <t>joseph.opolot@visionscientificafrica.com</t>
  </si>
  <si>
    <t>E Mail</t>
  </si>
  <si>
    <t>M</t>
  </si>
  <si>
    <t>F</t>
  </si>
  <si>
    <t>Casual Balance</t>
  </si>
  <si>
    <t>Salary Advance</t>
  </si>
  <si>
    <t xml:space="preserve"> 07/04/2026</t>
  </si>
  <si>
    <t>Aneesh</t>
  </si>
  <si>
    <t>Mathew</t>
  </si>
  <si>
    <t xml:space="preserve"> +256 7091 67800</t>
  </si>
  <si>
    <t xml:space="preserve"> 30/04/2026</t>
  </si>
  <si>
    <t xml:space="preserve"> 06/02/2026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</si>
</sst>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mmm\-yyyy"/>
    <numFmt numFmtId="166" formatCode="#,##0.0_ ;\-#,##0.0\ "/>
  </numFmts>
  <fonts count="21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u/>
      <sz val="12"/>
      <color theme="1"/>
      <name val="Arial"/>
      <family val="2"/>
    </font>
    <font>
      <b/>
      <u/>
      <sz val="12"/>
      <color rgb="FF000000"/>
      <name val="Calibri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Calibri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5"/>
      <color rgb="FF000000"/>
      <name val="Inherit"/>
    </font>
    <font>
      <sz val="5"/>
      <color rgb="FF000000"/>
      <name val="Open Sans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rgb="FFFFFF00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rgb="FFFFFF00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7" fillId="0" borderId="0" applyNumberForma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</cellStyleXfs>
  <cellXfs count="115">
    <xf numFmtId="0" fontId="0" fillId="0" borderId="0" xfId="0"/>
    <xf numFmtId="0" fontId="1" fillId="2" borderId="1" xfId="0" applyFont="1" applyFill="1" applyBorder="1"/>
    <xf numFmtId="16" fontId="1" fillId="2" borderId="1" xfId="0" applyNumberFormat="1" applyFont="1" applyFill="1" applyBorder="1" applyAlignment="1">
      <alignment horizontal="center" textRotation="90" wrapText="1"/>
    </xf>
    <xf numFmtId="0" fontId="0" fillId="3" borderId="1" xfId="0" applyFill="1" applyBorder="1" applyAlignment="1">
      <alignment horizontal="center" textRotation="90" wrapText="1"/>
    </xf>
    <xf numFmtId="0" fontId="0" fillId="0" borderId="1" xfId="0" applyBorder="1"/>
    <xf numFmtId="0" fontId="2" fillId="0" borderId="1" xfId="0" applyFont="1" applyBorder="1"/>
    <xf numFmtId="0" fontId="0" fillId="3" borderId="2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2" xfId="0" applyFill="1" applyBorder="1" applyAlignment="1">
      <alignment horizontal="center" textRotation="90" wrapText="1"/>
    </xf>
    <xf numFmtId="164" fontId="2" fillId="0" borderId="1" xfId="0" applyNumberFormat="1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textRotation="90" wrapText="1"/>
    </xf>
    <xf numFmtId="0" fontId="1" fillId="2" borderId="1" xfId="0" applyFont="1" applyFill="1" applyBorder="1" applyAlignment="1">
      <alignment wrapText="1"/>
    </xf>
    <xf numFmtId="15" fontId="1" fillId="2" borderId="1" xfId="0" applyNumberFormat="1" applyFont="1" applyFill="1" applyBorder="1" applyAlignment="1">
      <alignment wrapText="1"/>
    </xf>
    <xf numFmtId="0" fontId="4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vertical="center"/>
    </xf>
    <xf numFmtId="49" fontId="0" fillId="0" borderId="4" xfId="0" applyNumberFormat="1" applyBorder="1"/>
    <xf numFmtId="49" fontId="0" fillId="0" borderId="4" xfId="0" applyNumberFormat="1" applyBorder="1" applyAlignment="1">
      <alignment horizontal="center"/>
    </xf>
    <xf numFmtId="14" fontId="0" fillId="0" borderId="4" xfId="0" applyNumberFormat="1" applyBorder="1"/>
    <xf numFmtId="0" fontId="0" fillId="0" borderId="4" xfId="0" applyBorder="1" applyAlignment="1">
      <alignment vertical="center" wrapText="1"/>
    </xf>
    <xf numFmtId="0" fontId="5" fillId="0" borderId="0" xfId="0" applyFont="1"/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/>
    <xf numFmtId="0" fontId="10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/>
    <xf numFmtId="0" fontId="9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indent="11"/>
    </xf>
    <xf numFmtId="0" fontId="5" fillId="0" borderId="4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5" fillId="0" borderId="4" xfId="0" applyFont="1" applyBorder="1"/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0" fontId="12" fillId="0" borderId="5" xfId="0" applyFont="1" applyBorder="1" applyAlignment="1">
      <alignment vertical="center"/>
    </xf>
    <xf numFmtId="0" fontId="12" fillId="0" borderId="0" xfId="0" applyFont="1" applyAlignment="1">
      <alignment horizontal="right" vertical="center"/>
    </xf>
    <xf numFmtId="0" fontId="12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12" fillId="0" borderId="0" xfId="0" applyFont="1" applyAlignment="1">
      <alignment vertical="center" wrapText="1"/>
    </xf>
    <xf numFmtId="0" fontId="12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vertical="center"/>
    </xf>
    <xf numFmtId="0" fontId="13" fillId="0" borderId="0" xfId="0" applyFont="1" applyAlignment="1">
      <alignment horizontal="right" vertical="center"/>
    </xf>
    <xf numFmtId="0" fontId="10" fillId="0" borderId="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7" xfId="0" applyFont="1" applyBorder="1"/>
    <xf numFmtId="0" fontId="5" fillId="0" borderId="8" xfId="0" applyFont="1" applyBorder="1" applyAlignment="1">
      <alignment horizontal="center" vertical="center"/>
    </xf>
    <xf numFmtId="165" fontId="1" fillId="2" borderId="1" xfId="0" applyNumberFormat="1" applyFont="1" applyFill="1" applyBorder="1" applyAlignment="1">
      <alignment wrapText="1"/>
    </xf>
    <xf numFmtId="166" fontId="2" fillId="0" borderId="1" xfId="0" applyNumberFormat="1" applyFont="1" applyBorder="1" applyAlignment="1">
      <alignment horizontal="left" vertical="center"/>
    </xf>
    <xf numFmtId="0" fontId="0" fillId="0" borderId="4" xfId="0" applyBorder="1" applyAlignment="1">
      <alignment horizontal="right"/>
    </xf>
    <xf numFmtId="164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0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1" xfId="0" applyBorder="1"/>
    <xf numFmtId="0" fontId="2" fillId="0" borderId="11" xfId="0" applyFont="1" applyBorder="1"/>
    <xf numFmtId="164" fontId="2" fillId="0" borderId="11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1" fillId="4" borderId="1" xfId="0" applyFont="1" applyFill="1" applyBorder="1" applyAlignment="1">
      <alignment horizontal="center" vertical="center" textRotation="90" wrapText="1"/>
    </xf>
    <xf numFmtId="0" fontId="1" fillId="4" borderId="1" xfId="0" applyFont="1" applyFill="1" applyBorder="1" applyAlignment="1">
      <alignment horizontal="center" textRotation="90" wrapText="1"/>
    </xf>
    <xf numFmtId="0" fontId="0" fillId="5" borderId="2" xfId="0" applyFill="1" applyBorder="1" applyAlignment="1">
      <alignment horizontal="center" vertical="center"/>
    </xf>
    <xf numFmtId="164" fontId="2" fillId="5" borderId="1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textRotation="90" wrapText="1"/>
    </xf>
    <xf numFmtId="164" fontId="2" fillId="7" borderId="1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textRotation="90" wrapText="1"/>
    </xf>
    <xf numFmtId="164" fontId="2" fillId="9" borderId="11" xfId="0" applyNumberFormat="1" applyFont="1" applyFill="1" applyBorder="1" applyAlignment="1">
      <alignment horizontal="center" vertical="center"/>
    </xf>
    <xf numFmtId="164" fontId="2" fillId="9" borderId="11" xfId="0" applyNumberFormat="1" applyFont="1" applyFill="1" applyBorder="1" applyAlignment="1">
      <alignment horizontal="left" vertical="center"/>
    </xf>
    <xf numFmtId="0" fontId="0" fillId="3" borderId="4" xfId="0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17" fillId="0" borderId="0" xfId="1"/>
    <xf numFmtId="0" fontId="0" fillId="5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164" fontId="2" fillId="5" borderId="11" xfId="0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center" textRotation="90" wrapText="1"/>
    </xf>
    <xf numFmtId="0" fontId="1" fillId="10" borderId="1" xfId="0" applyFont="1" applyFill="1" applyBorder="1" applyAlignment="1">
      <alignment horizontal="center" textRotation="90" wrapText="1"/>
    </xf>
    <xf numFmtId="0" fontId="0" fillId="11" borderId="2" xfId="0" applyFill="1" applyBorder="1" applyAlignment="1">
      <alignment horizontal="center" vertical="center"/>
    </xf>
    <xf numFmtId="164" fontId="2" fillId="11" borderId="11" xfId="0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top"/>
    </xf>
    <xf numFmtId="0" fontId="2" fillId="0" borderId="12" xfId="0" applyFont="1" applyBorder="1" applyAlignment="1">
      <alignment horizontal="center"/>
    </xf>
    <xf numFmtId="14" fontId="0" fillId="0" borderId="0" xfId="0" applyNumberFormat="1"/>
    <xf numFmtId="43" fontId="0" fillId="0" borderId="0" xfId="2" applyFont="1"/>
    <xf numFmtId="0" fontId="1" fillId="2" borderId="10" xfId="0" applyFont="1" applyFill="1" applyBorder="1" applyAlignment="1">
      <alignment horizontal="center" textRotation="90" wrapText="1"/>
    </xf>
    <xf numFmtId="14" fontId="5" fillId="0" borderId="6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vertical="center"/>
    </xf>
    <xf numFmtId="14" fontId="5" fillId="0" borderId="5" xfId="0" applyNumberFormat="1" applyFont="1" applyBorder="1" applyAlignment="1">
      <alignment horizontal="left" vertical="center"/>
    </xf>
    <xf numFmtId="0" fontId="10" fillId="0" borderId="6" xfId="0" applyFont="1" applyBorder="1" applyAlignment="1">
      <alignment vertical="center"/>
    </xf>
    <xf numFmtId="43" fontId="5" fillId="0" borderId="0" xfId="2" applyFont="1"/>
    <xf numFmtId="43" fontId="5" fillId="0" borderId="0" xfId="2" applyFont="1" applyAlignment="1">
      <alignment vertical="center"/>
    </xf>
    <xf numFmtId="43" fontId="0" fillId="0" borderId="0" xfId="0" applyNumberFormat="1"/>
    <xf numFmtId="41" fontId="0" fillId="0" borderId="0" xfId="3" applyFont="1"/>
    <xf numFmtId="0" fontId="17" fillId="0" borderId="4" xfId="1" applyBorder="1" applyAlignment="1">
      <alignment horizontal="right"/>
    </xf>
    <xf numFmtId="0" fontId="19" fillId="12" borderId="0" xfId="0" applyFont="1" applyFill="1" applyAlignment="1">
      <alignment vertical="center" wrapText="1"/>
    </xf>
    <xf numFmtId="0" fontId="20" fillId="12" borderId="0" xfId="0" applyFont="1" applyFill="1" applyAlignment="1">
      <alignment vertical="center" wrapText="1"/>
    </xf>
    <xf numFmtId="0" fontId="9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</cellXfs>
  <cellStyles count="4">
    <cellStyle name="Comma" xfId="2" builtinId="3"/>
    <cellStyle name="Comma [0]" xfId="3" builtinId="6"/>
    <cellStyle name="Hyperlink" xfId="1" builtinId="8"/>
    <cellStyle name="Normal" xfId="0" builtinId="0"/>
  </cellStyles>
  <dxfs count="11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C0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2D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C0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2D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C0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2D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C0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2D050"/>
      </font>
      <fill>
        <patternFill>
          <bgColor rgb="FF00B050"/>
        </patternFill>
      </fill>
    </dxf>
    <dxf>
      <font>
        <color theme="2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C0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2D050"/>
      </font>
      <fill>
        <patternFill>
          <bgColor rgb="FF00B050"/>
        </patternFill>
      </fill>
    </dxf>
    <dxf>
      <font>
        <color theme="2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C0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2D050"/>
      </font>
      <fill>
        <patternFill>
          <bgColor rgb="FF00B050"/>
        </patternFill>
      </fill>
    </dxf>
    <dxf>
      <font>
        <color theme="2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C0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2D050"/>
      </font>
      <fill>
        <patternFill>
          <bgColor rgb="FF00B050"/>
        </patternFill>
      </fill>
    </dxf>
    <dxf>
      <font>
        <color theme="2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C0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2D050"/>
      </font>
      <fill>
        <patternFill>
          <bgColor rgb="FF00B050"/>
        </patternFill>
      </fill>
    </dxf>
    <dxf>
      <font>
        <color theme="2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C0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2D050"/>
      </font>
      <fill>
        <patternFill>
          <bgColor rgb="FF00B050"/>
        </patternFill>
      </fill>
    </dxf>
    <dxf>
      <font>
        <color theme="2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C0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2D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00B050"/>
        </patternFill>
      </fill>
    </dxf>
    <dxf>
      <font>
        <color rgb="FFC0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2D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0</xdr:row>
      <xdr:rowOff>0</xdr:rowOff>
    </xdr:from>
    <xdr:to>
      <xdr:col>9</xdr:col>
      <xdr:colOff>349250</xdr:colOff>
      <xdr:row>3</xdr:row>
      <xdr:rowOff>172031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9B1C0E9-CF95-0045-DC5A-68A87D33BE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349"/>
        <a:stretch/>
      </xdr:blipFill>
      <xdr:spPr>
        <a:xfrm>
          <a:off x="396875" y="0"/>
          <a:ext cx="5775325" cy="7721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0</xdr:row>
      <xdr:rowOff>0</xdr:rowOff>
    </xdr:from>
    <xdr:to>
      <xdr:col>9</xdr:col>
      <xdr:colOff>349250</xdr:colOff>
      <xdr:row>3</xdr:row>
      <xdr:rowOff>172031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66C8D3-1D1F-4F7B-AF61-503AE31951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349"/>
        <a:stretch/>
      </xdr:blipFill>
      <xdr:spPr>
        <a:xfrm>
          <a:off x="393700" y="0"/>
          <a:ext cx="5778500" cy="7816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mailto:angela.nyinimuntu@visionscientificafrica.com" TargetMode="External"/><Relationship Id="rId2" Type="http://schemas.openxmlformats.org/officeDocument/2006/relationships/hyperlink" Target="mailto:joseph.opolot@visionscientificafrica.com" TargetMode="External"/><Relationship Id="rId1" Type="http://schemas.openxmlformats.org/officeDocument/2006/relationships/hyperlink" Target="mailto:aneesh.mathew@visionscientificafrica.com" TargetMode="External"/><Relationship Id="rId5" Type="http://schemas.openxmlformats.org/officeDocument/2006/relationships/printerSettings" Target="../printerSettings/printerSettings16.bin"/><Relationship Id="rId4" Type="http://schemas.openxmlformats.org/officeDocument/2006/relationships/hyperlink" Target="mailto:paul.kawunde@visionscientificafric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F51E0-C86C-448F-9BE3-4126DDD5833B}">
  <sheetPr codeName="Sheet4"/>
  <dimension ref="B2:AA14"/>
  <sheetViews>
    <sheetView zoomScaleNormal="100" workbookViewId="0">
      <pane xSplit="4" ySplit="3" topLeftCell="E4" activePane="bottomRight" state="frozen"/>
      <selection pane="topRight" activeCell="D1" sqref="D1"/>
      <selection pane="bottomLeft" activeCell="A3" sqref="A3"/>
      <selection pane="bottomRight" activeCell="R2" sqref="R2"/>
    </sheetView>
  </sheetViews>
  <sheetFormatPr defaultRowHeight="14.5" x14ac:dyDescent="0.35"/>
  <cols>
    <col min="1" max="1" width="3.81640625" customWidth="1"/>
    <col min="2" max="2" width="22.1796875" bestFit="1" customWidth="1"/>
    <col min="3" max="3" width="5.81640625" style="62" customWidth="1"/>
    <col min="4" max="4" width="9.81640625" bestFit="1" customWidth="1"/>
    <col min="5" max="5" width="9.81640625" customWidth="1"/>
    <col min="6" max="6" width="4.7265625" style="62" bestFit="1" customWidth="1"/>
    <col min="7" max="9" width="4.81640625" bestFit="1" customWidth="1"/>
    <col min="10" max="10" width="4.81640625" style="62" customWidth="1"/>
    <col min="11" max="11" width="4.81640625" style="62" bestFit="1" customWidth="1"/>
    <col min="12" max="12" width="4.81640625" style="66" bestFit="1" customWidth="1"/>
    <col min="13" max="13" width="4.81640625" customWidth="1"/>
    <col min="14" max="14" width="4.81640625" style="62" bestFit="1" customWidth="1"/>
    <col min="15" max="15" width="4.81640625" style="62" customWidth="1"/>
    <col min="16" max="16" width="4.81640625" bestFit="1" customWidth="1"/>
    <col min="17" max="17" width="4.81640625" customWidth="1"/>
    <col min="18" max="18" width="4.81640625" bestFit="1" customWidth="1"/>
    <col min="19" max="19" width="4.81640625" style="62" customWidth="1"/>
    <col min="20" max="20" width="5" bestFit="1" customWidth="1"/>
    <col min="21" max="22" width="4.81640625" bestFit="1" customWidth="1"/>
    <col min="23" max="23" width="27.54296875" bestFit="1" customWidth="1"/>
    <col min="24" max="24" width="11.1796875" bestFit="1" customWidth="1"/>
    <col min="25" max="25" width="10.81640625" bestFit="1" customWidth="1"/>
    <col min="26" max="26" width="14.54296875" bestFit="1" customWidth="1"/>
    <col min="27" max="27" width="38.7265625" bestFit="1" customWidth="1"/>
  </cols>
  <sheetData>
    <row r="2" spans="2:27" ht="57.65" customHeight="1" x14ac:dyDescent="0.35">
      <c r="B2" s="13" t="s">
        <v>0</v>
      </c>
      <c r="C2" s="73"/>
      <c r="D2" s="58">
        <v>45962</v>
      </c>
      <c r="E2" s="58"/>
      <c r="F2" s="12" t="s">
        <v>1</v>
      </c>
      <c r="G2" s="12" t="s">
        <v>2</v>
      </c>
      <c r="H2" s="12" t="s">
        <v>3</v>
      </c>
      <c r="I2" s="12" t="s">
        <v>4</v>
      </c>
      <c r="J2" s="94" t="s">
        <v>5</v>
      </c>
      <c r="K2" s="94" t="s">
        <v>138</v>
      </c>
      <c r="L2" s="75" t="s">
        <v>6</v>
      </c>
      <c r="M2" s="76" t="s">
        <v>102</v>
      </c>
      <c r="N2" s="79" t="s">
        <v>7</v>
      </c>
      <c r="O2" s="79" t="s">
        <v>102</v>
      </c>
      <c r="P2" s="81" t="s">
        <v>8</v>
      </c>
      <c r="Q2" s="81" t="s">
        <v>102</v>
      </c>
      <c r="R2" s="76" t="s">
        <v>9</v>
      </c>
      <c r="S2" s="76" t="s">
        <v>102</v>
      </c>
      <c r="T2" s="12" t="s">
        <v>10</v>
      </c>
      <c r="U2" s="12" t="s">
        <v>11</v>
      </c>
      <c r="V2" s="12" t="s">
        <v>12</v>
      </c>
    </row>
    <row r="3" spans="2:27" s="65" customFormat="1" ht="21" customHeight="1" x14ac:dyDescent="0.35">
      <c r="B3" s="85" t="s">
        <v>13</v>
      </c>
      <c r="C3" s="86"/>
      <c r="D3" s="85" t="s">
        <v>14</v>
      </c>
      <c r="E3" s="85"/>
      <c r="F3" s="72" t="s">
        <v>22</v>
      </c>
      <c r="G3" s="72" t="s">
        <v>53</v>
      </c>
      <c r="H3" s="72" t="s">
        <v>91</v>
      </c>
      <c r="I3" s="72" t="s">
        <v>25</v>
      </c>
      <c r="J3" s="95" t="s">
        <v>26</v>
      </c>
      <c r="K3" s="95" t="s">
        <v>26</v>
      </c>
      <c r="L3" s="77" t="s">
        <v>27</v>
      </c>
      <c r="M3" s="77" t="s">
        <v>27</v>
      </c>
      <c r="N3" s="87" t="s">
        <v>28</v>
      </c>
      <c r="O3" s="87" t="s">
        <v>28</v>
      </c>
      <c r="P3" s="88" t="s">
        <v>29</v>
      </c>
      <c r="Q3" s="88" t="s">
        <v>29</v>
      </c>
      <c r="R3" s="77" t="s">
        <v>30</v>
      </c>
      <c r="S3" s="90" t="s">
        <v>30</v>
      </c>
      <c r="T3" s="72" t="s">
        <v>92</v>
      </c>
      <c r="U3" s="72" t="s">
        <v>32</v>
      </c>
      <c r="V3" s="72"/>
    </row>
    <row r="4" spans="2:27" s="65" customFormat="1" x14ac:dyDescent="0.35">
      <c r="B4" s="18"/>
      <c r="C4" s="71"/>
      <c r="D4" s="18"/>
      <c r="E4" s="18"/>
      <c r="F4" s="18"/>
      <c r="G4" s="18"/>
      <c r="H4" s="18"/>
      <c r="I4" s="18"/>
      <c r="J4" s="97">
        <v>4</v>
      </c>
      <c r="K4" s="84"/>
      <c r="L4" s="84">
        <v>30</v>
      </c>
      <c r="M4" s="84"/>
      <c r="N4" s="84">
        <v>21</v>
      </c>
      <c r="O4" s="84"/>
      <c r="P4" s="84">
        <v>60</v>
      </c>
      <c r="Q4" s="84"/>
      <c r="R4" s="84">
        <v>4</v>
      </c>
      <c r="S4" s="91"/>
      <c r="T4" s="18"/>
      <c r="U4" s="18"/>
      <c r="V4" s="18"/>
      <c r="W4" s="15" t="s">
        <v>57</v>
      </c>
      <c r="X4" s="15" t="s">
        <v>59</v>
      </c>
      <c r="Y4" s="15" t="s">
        <v>60</v>
      </c>
      <c r="Z4" s="15" t="s">
        <v>58</v>
      </c>
      <c r="AA4" s="15" t="s">
        <v>135</v>
      </c>
    </row>
    <row r="5" spans="2:27" x14ac:dyDescent="0.35">
      <c r="B5" s="67" t="s">
        <v>33</v>
      </c>
      <c r="C5" s="74" t="s">
        <v>137</v>
      </c>
      <c r="D5" s="68" t="s">
        <v>43</v>
      </c>
      <c r="E5" s="68"/>
      <c r="F5" s="69">
        <f t="shared" ref="F5:F14" si="0">COUNTIF(D5:D5,"P")</f>
        <v>0</v>
      </c>
      <c r="G5" s="70"/>
      <c r="H5" s="70"/>
      <c r="I5" s="70"/>
      <c r="J5" s="96">
        <f>'UG December 2026'!AN4+'UG November 2026'!AN4+'UG October 2026'!AN4+'UG September 2026'!AN4+'UG August 2026'!AN4+'UG July 2026'!AN4+'UG June 2026'!AN4+'UG May 2026'!AN4+'UG April 2026'!AN4+'UG March 2026'!AN4+'UG February 2026'!AN4+'UG January 2026'!AN4</f>
        <v>0</v>
      </c>
      <c r="K5" s="96">
        <f t="shared" ref="K5:K14" si="1">$J$4-J5</f>
        <v>4</v>
      </c>
      <c r="L5" s="78">
        <f>'UG December 2026'!AO4+'UG November 2026'!AO4+'UG October 2026'!AO4+'UG September 2026'!AO4+'UG August 2026'!AO4+'UG July 2026'!AO4+'UG June 2026'!AO4+'UG May 2026'!AO4+'UG April 2026'!AO4+'UG March 2026'!AO4+'UG February 2026'!AO4+'UG January 2026'!AO4</f>
        <v>3</v>
      </c>
      <c r="M5" s="78">
        <f>$L$4-L5</f>
        <v>27</v>
      </c>
      <c r="N5" s="80">
        <f>'UG December 2026'!AP4+'UG November 2026'!AP4+'UG October 2026'!AP4+'UG September 2026'!AP4+'UG August 2026'!AP4+'UG July 2026'!AP4+'UG June 2026'!AP4+'UG May 2026'!AP4+'UG April 2026'!AP4+'UG March 2026'!AP4+'UG February 2026'!AP4+'UG January 2026'!AP4</f>
        <v>1</v>
      </c>
      <c r="O5" s="80">
        <f>$N$4-N5</f>
        <v>20</v>
      </c>
      <c r="P5" s="82">
        <f>'UG December 2026'!AQ4+'UG November 2026'!AQ4+'UG October 2026'!AQ4+'UG September 2026'!AQ4+'UG August 2026'!AQ4+'UG July 2026'!AQ4+'UG June 2026'!AQ4+'UG May 2026'!AQ4+'UG April 2026'!AQ4+'UG March 2026'!AQ4+'UG February 2026'!AQ4+'UG January 2026'!AQ4</f>
        <v>47</v>
      </c>
      <c r="Q5" s="83">
        <f t="shared" ref="Q5:Q14" si="2">IF(C5="F",$P$4-P5,0)</f>
        <v>13</v>
      </c>
      <c r="R5" s="78">
        <f>'UG December 2026'!AR4+'UG November 2026'!AR4+'UG October 2026'!AR4+'UG September 2026'!AR4+'UG August 2026'!AR4+'UG July 2026'!AR4+'UG June 2026'!AR4+'UG May 2026'!AR4+'UG April 2026'!AR4+'UG March 2026'!AR4+'UG February 2026'!AR4+'UG January 2026'!AR4</f>
        <v>0</v>
      </c>
      <c r="S5" s="92">
        <f t="shared" ref="S5:S14" si="3">IF(C5="M",$R$4-R5,0)</f>
        <v>0</v>
      </c>
      <c r="T5" s="70"/>
      <c r="U5" s="70"/>
      <c r="V5" s="70"/>
      <c r="W5" s="18" t="s">
        <v>62</v>
      </c>
      <c r="X5" s="20" t="s">
        <v>64</v>
      </c>
      <c r="Y5" s="21">
        <v>43405</v>
      </c>
      <c r="Z5" s="19" t="s">
        <v>63</v>
      </c>
      <c r="AA5" s="60" t="s">
        <v>131</v>
      </c>
    </row>
    <row r="6" spans="2:27" x14ac:dyDescent="0.35">
      <c r="B6" s="4" t="s">
        <v>34</v>
      </c>
      <c r="C6" s="9" t="s">
        <v>136</v>
      </c>
      <c r="D6" s="4" t="s">
        <v>44</v>
      </c>
      <c r="E6" s="4"/>
      <c r="F6" s="61">
        <f t="shared" si="0"/>
        <v>0</v>
      </c>
      <c r="G6" s="11"/>
      <c r="H6" s="11"/>
      <c r="I6" s="11"/>
      <c r="J6" s="96">
        <f>'UG December 2026'!AN5+'UG November 2026'!AN5+'UG October 2026'!AN5+'UG September 2026'!AN5+'UG August 2026'!AN5+'UG July 2026'!AN5+'UG June 2026'!AN5+'UG May 2026'!AN5+'UG April 2026'!AN5+'UG March 2026'!AN5+'UG February 2026'!AN5+'UG January 2026'!AN5</f>
        <v>0</v>
      </c>
      <c r="K6" s="96">
        <f t="shared" si="1"/>
        <v>4</v>
      </c>
      <c r="L6" s="78">
        <f>'UG December 2026'!AO5+'UG November 2026'!AO5+'UG October 2026'!AO5+'UG September 2026'!AO5+'UG August 2026'!AO5+'UG July 2026'!AO5+'UG June 2026'!AO5+'UG May 2026'!AO5+'UG April 2026'!AO5+'UG March 2026'!AO5+'UG February 2026'!AO5+'UG January 2026'!AO5</f>
        <v>0</v>
      </c>
      <c r="M6" s="78">
        <f t="shared" ref="M6:M14" si="4">$L$4-L6</f>
        <v>30</v>
      </c>
      <c r="N6" s="80">
        <f>'UG December 2026'!AP5+'UG November 2026'!AP5+'UG October 2026'!AP5+'UG September 2026'!AP5+'UG August 2026'!AP5+'UG July 2026'!AP5+'UG June 2026'!AP5+'UG May 2026'!AP5+'UG April 2026'!AP5+'UG March 2026'!AP5+'UG February 2026'!AP5+'UG January 2026'!AP5</f>
        <v>2</v>
      </c>
      <c r="O6" s="80">
        <f t="shared" ref="O6:O14" si="5">$N$4-N6</f>
        <v>19</v>
      </c>
      <c r="P6" s="82">
        <f>'UG December 2026'!AQ5+'UG November 2026'!AQ5+'UG October 2026'!AQ5+'UG September 2026'!AQ5+'UG August 2026'!AQ5+'UG July 2026'!AQ5+'UG June 2026'!AQ5+'UG May 2026'!AQ5+'UG April 2026'!AQ5+'UG March 2026'!AQ5+'UG February 2026'!AQ5+'UG January 2026'!AQ5</f>
        <v>0</v>
      </c>
      <c r="Q6" s="83">
        <f t="shared" si="2"/>
        <v>0</v>
      </c>
      <c r="R6" s="78">
        <f>'UG December 2026'!AR5+'UG November 2026'!AR5+'UG October 2026'!AR5+'UG September 2026'!AR5+'UG August 2026'!AR5+'UG July 2026'!AR5+'UG June 2026'!AR5+'UG May 2026'!AR5+'UG April 2026'!AR5+'UG March 2026'!AR5+'UG February 2026'!AR5+'UG January 2026'!AR5</f>
        <v>0</v>
      </c>
      <c r="S6" s="92">
        <f t="shared" si="3"/>
        <v>4</v>
      </c>
      <c r="T6" s="11"/>
      <c r="U6" s="11"/>
      <c r="V6" s="11"/>
      <c r="W6" s="18" t="s">
        <v>65</v>
      </c>
      <c r="X6" s="20" t="s">
        <v>67</v>
      </c>
      <c r="Y6" s="21">
        <v>42461</v>
      </c>
      <c r="Z6" s="19" t="s">
        <v>66</v>
      </c>
      <c r="AA6" s="60" t="s">
        <v>134</v>
      </c>
    </row>
    <row r="7" spans="2:27" x14ac:dyDescent="0.35">
      <c r="B7" s="4" t="s">
        <v>35</v>
      </c>
      <c r="C7" s="9" t="s">
        <v>136</v>
      </c>
      <c r="D7" s="4" t="s">
        <v>45</v>
      </c>
      <c r="E7" s="4"/>
      <c r="F7" s="61">
        <f t="shared" si="0"/>
        <v>0</v>
      </c>
      <c r="G7" s="11"/>
      <c r="H7" s="11"/>
      <c r="I7" s="11"/>
      <c r="J7" s="96">
        <f>'UG December 2026'!AN6+'UG November 2026'!AN6+'UG October 2026'!AN6+'UG September 2026'!AN6+'UG August 2026'!AN6+'UG July 2026'!AN6+'UG June 2026'!AN6+'UG May 2026'!AN6+'UG April 2026'!AN6+'UG March 2026'!AN6+'UG February 2026'!AN6+'UG January 2026'!AN6</f>
        <v>0</v>
      </c>
      <c r="K7" s="96">
        <f t="shared" si="1"/>
        <v>4</v>
      </c>
      <c r="L7" s="78">
        <f>'UG December 2026'!AO6+'UG November 2026'!AO6+'UG October 2026'!AO6+'UG September 2026'!AO6+'UG August 2026'!AO6+'UG July 2026'!AO6+'UG June 2026'!AO6+'UG May 2026'!AO6+'UG April 2026'!AO6+'UG March 2026'!AO6+'UG February 2026'!AO6+'UG January 2026'!AO6</f>
        <v>0</v>
      </c>
      <c r="M7" s="78">
        <f t="shared" si="4"/>
        <v>30</v>
      </c>
      <c r="N7" s="80">
        <f>'UG December 2026'!AP6+'UG November 2026'!AP6+'UG October 2026'!AP6+'UG September 2026'!AP6+'UG August 2026'!AP6+'UG July 2026'!AP6+'UG June 2026'!AP6+'UG May 2026'!AP6+'UG April 2026'!AP6+'UG March 2026'!AP6+'UG February 2026'!AP6+'UG January 2026'!AP6</f>
        <v>6</v>
      </c>
      <c r="O7" s="80">
        <f t="shared" si="5"/>
        <v>15</v>
      </c>
      <c r="P7" s="82">
        <f>'UG December 2026'!AQ6+'UG November 2026'!AQ6+'UG October 2026'!AQ6+'UG September 2026'!AQ6+'UG August 2026'!AQ6+'UG July 2026'!AQ6+'UG June 2026'!AQ6+'UG May 2026'!AQ6+'UG April 2026'!AQ6+'UG March 2026'!AQ6+'UG February 2026'!AQ6+'UG January 2026'!AQ6</f>
        <v>0</v>
      </c>
      <c r="Q7" s="83">
        <f t="shared" si="2"/>
        <v>0</v>
      </c>
      <c r="R7" s="78">
        <f>'UG December 2026'!AR6+'UG November 2026'!AR6+'UG October 2026'!AR6+'UG September 2026'!AR6+'UG August 2026'!AR6+'UG July 2026'!AR6+'UG June 2026'!AR6+'UG May 2026'!AR6+'UG April 2026'!AR6+'UG March 2026'!AR6+'UG February 2026'!AR6+'UG January 2026'!AR6</f>
        <v>0</v>
      </c>
      <c r="S7" s="92">
        <f t="shared" si="3"/>
        <v>4</v>
      </c>
      <c r="T7" s="11"/>
      <c r="U7" s="11"/>
      <c r="V7" s="11"/>
      <c r="W7" s="18" t="s">
        <v>68</v>
      </c>
      <c r="X7" s="20" t="s">
        <v>70</v>
      </c>
      <c r="Y7" s="21">
        <v>42309</v>
      </c>
      <c r="Z7" s="19" t="s">
        <v>69</v>
      </c>
      <c r="AA7" s="60"/>
    </row>
    <row r="8" spans="2:27" ht="14.15" customHeight="1" x14ac:dyDescent="0.35">
      <c r="B8" s="4" t="s">
        <v>36</v>
      </c>
      <c r="C8" s="9" t="s">
        <v>137</v>
      </c>
      <c r="D8" s="4" t="s">
        <v>46</v>
      </c>
      <c r="E8" s="4"/>
      <c r="F8" s="61">
        <f t="shared" si="0"/>
        <v>0</v>
      </c>
      <c r="G8" s="11"/>
      <c r="H8" s="11"/>
      <c r="I8" s="11"/>
      <c r="J8" s="96">
        <f>'UG December 2026'!AN7+'UG November 2026'!AN7+'UG October 2026'!AN7+'UG September 2026'!AN7+'UG August 2026'!AN7+'UG July 2026'!AN7+'UG June 2026'!AN7+'UG May 2026'!AN7+'UG April 2026'!AN7+'UG March 2026'!AN7+'UG February 2026'!AN7+'UG January 2026'!AN7</f>
        <v>0</v>
      </c>
      <c r="K8" s="96">
        <f t="shared" si="1"/>
        <v>4</v>
      </c>
      <c r="L8" s="78">
        <f>'UG December 2026'!AO7+'UG November 2026'!AO7+'UG October 2026'!AO7+'UG September 2026'!AO7+'UG August 2026'!AO7+'UG July 2026'!AO7+'UG June 2026'!AO7+'UG May 2026'!AO7+'UG April 2026'!AO7+'UG March 2026'!AO7+'UG February 2026'!AO7+'UG January 2026'!AO7</f>
        <v>1</v>
      </c>
      <c r="M8" s="78">
        <f t="shared" si="4"/>
        <v>29</v>
      </c>
      <c r="N8" s="80">
        <f>'UG December 2026'!AP7+'UG November 2026'!AP7+'UG October 2026'!AP7+'UG September 2026'!AP7+'UG August 2026'!AP7+'UG July 2026'!AP7+'UG June 2026'!AP7+'UG May 2026'!AP7+'UG April 2026'!AP7+'UG March 2026'!AP7+'UG February 2026'!AP7+'UG January 2026'!AP7</f>
        <v>1</v>
      </c>
      <c r="O8" s="80">
        <f t="shared" si="5"/>
        <v>20</v>
      </c>
      <c r="P8" s="82">
        <f>'UG December 2026'!AQ7+'UG November 2026'!AQ7+'UG October 2026'!AQ7+'UG September 2026'!AQ7+'UG August 2026'!AQ7+'UG July 2026'!AQ7+'UG June 2026'!AQ7+'UG May 2026'!AQ7+'UG April 2026'!AQ7+'UG March 2026'!AQ7+'UG February 2026'!AQ7+'UG January 2026'!AQ7</f>
        <v>0</v>
      </c>
      <c r="Q8" s="83">
        <f t="shared" si="2"/>
        <v>60</v>
      </c>
      <c r="R8" s="78">
        <f>'UG December 2026'!AR7+'UG November 2026'!AR7+'UG October 2026'!AR7+'UG September 2026'!AR7+'UG August 2026'!AR7+'UG July 2026'!AR7+'UG June 2026'!AR7+'UG May 2026'!AR7+'UG April 2026'!AR7+'UG March 2026'!AR7+'UG February 2026'!AR7+'UG January 2026'!AR7</f>
        <v>0</v>
      </c>
      <c r="S8" s="92">
        <f t="shared" si="3"/>
        <v>0</v>
      </c>
      <c r="T8" s="11"/>
      <c r="U8" s="11"/>
      <c r="V8" s="11"/>
      <c r="W8" s="18" t="s">
        <v>71</v>
      </c>
      <c r="X8" s="20" t="s">
        <v>73</v>
      </c>
      <c r="Y8" s="21">
        <v>43132</v>
      </c>
      <c r="Z8" s="19" t="s">
        <v>72</v>
      </c>
      <c r="AA8" s="60" t="s">
        <v>130</v>
      </c>
    </row>
    <row r="9" spans="2:27" x14ac:dyDescent="0.35">
      <c r="B9" s="4" t="s">
        <v>37</v>
      </c>
      <c r="C9" s="9" t="s">
        <v>136</v>
      </c>
      <c r="D9" s="4" t="s">
        <v>47</v>
      </c>
      <c r="E9" s="4"/>
      <c r="F9" s="61">
        <f t="shared" si="0"/>
        <v>0</v>
      </c>
      <c r="G9" s="11"/>
      <c r="H9" s="11"/>
      <c r="I9" s="11"/>
      <c r="J9" s="96">
        <f>'UG December 2026'!AN8+'UG November 2026'!AN8+'UG October 2026'!AN8+'UG September 2026'!AN8+'UG August 2026'!AN8+'UG July 2026'!AN8+'UG June 2026'!AN8+'UG May 2026'!AN8+'UG April 2026'!AN8+'UG March 2026'!AN8+'UG February 2026'!AN8+'UG January 2026'!AN8</f>
        <v>0</v>
      </c>
      <c r="K9" s="96">
        <f t="shared" si="1"/>
        <v>4</v>
      </c>
      <c r="L9" s="78">
        <f>'UG December 2026'!AO8+'UG November 2026'!AO8+'UG October 2026'!AO8+'UG September 2026'!AO8+'UG August 2026'!AO8+'UG July 2026'!AO8+'UG June 2026'!AO8+'UG May 2026'!AO8+'UG April 2026'!AO8+'UG March 2026'!AO8+'UG February 2026'!AO8+'UG January 2026'!AO8</f>
        <v>0</v>
      </c>
      <c r="M9" s="78">
        <f t="shared" si="4"/>
        <v>30</v>
      </c>
      <c r="N9" s="80">
        <f>'UG December 2026'!AP8+'UG November 2026'!AP8+'UG October 2026'!AP8+'UG September 2026'!AP8+'UG August 2026'!AP8+'UG July 2026'!AP8+'UG June 2026'!AP8+'UG May 2026'!AP8+'UG April 2026'!AP8+'UG March 2026'!AP8+'UG February 2026'!AP8+'UG January 2026'!AP8</f>
        <v>0</v>
      </c>
      <c r="O9" s="80">
        <f t="shared" si="5"/>
        <v>21</v>
      </c>
      <c r="P9" s="82">
        <f>'UG December 2026'!AQ8+'UG November 2026'!AQ8+'UG October 2026'!AQ8+'UG September 2026'!AQ8+'UG August 2026'!AQ8+'UG July 2026'!AQ8+'UG June 2026'!AQ8+'UG May 2026'!AQ8+'UG April 2026'!AQ8+'UG March 2026'!AQ8+'UG February 2026'!AQ8+'UG January 2026'!AQ8</f>
        <v>0</v>
      </c>
      <c r="Q9" s="83">
        <f t="shared" si="2"/>
        <v>0</v>
      </c>
      <c r="R9" s="78">
        <f>'UG December 2026'!AR8+'UG November 2026'!AR8+'UG October 2026'!AR8+'UG September 2026'!AR8+'UG August 2026'!AR8+'UG July 2026'!AR8+'UG June 2026'!AR8+'UG May 2026'!AR8+'UG April 2026'!AR8+'UG March 2026'!AR8+'UG February 2026'!AR8+'UG January 2026'!AR8</f>
        <v>0</v>
      </c>
      <c r="S9" s="92">
        <f t="shared" si="3"/>
        <v>4</v>
      </c>
      <c r="T9" s="11"/>
      <c r="U9" s="11"/>
      <c r="V9" s="11"/>
      <c r="W9" s="18" t="s">
        <v>74</v>
      </c>
      <c r="X9" s="20" t="s">
        <v>76</v>
      </c>
      <c r="Y9" s="21">
        <v>44317</v>
      </c>
      <c r="Z9" s="19" t="s">
        <v>75</v>
      </c>
      <c r="AA9" s="60" t="s">
        <v>132</v>
      </c>
    </row>
    <row r="10" spans="2:27" x14ac:dyDescent="0.35">
      <c r="B10" s="4" t="s">
        <v>38</v>
      </c>
      <c r="C10" s="9" t="s">
        <v>137</v>
      </c>
      <c r="D10" s="4" t="s">
        <v>48</v>
      </c>
      <c r="E10" s="4"/>
      <c r="F10" s="61">
        <f t="shared" si="0"/>
        <v>0</v>
      </c>
      <c r="G10" s="11"/>
      <c r="H10" s="11"/>
      <c r="I10" s="11"/>
      <c r="J10" s="96">
        <f>'UG December 2026'!AN9+'UG November 2026'!AN9+'UG October 2026'!AN9+'UG September 2026'!AN9+'UG August 2026'!AN9+'UG July 2026'!AN9+'UG June 2026'!AN9+'UG May 2026'!AN9+'UG April 2026'!AN9+'UG March 2026'!AN9+'UG February 2026'!AN9+'UG January 2026'!AN9</f>
        <v>0</v>
      </c>
      <c r="K10" s="96">
        <f t="shared" si="1"/>
        <v>4</v>
      </c>
      <c r="L10" s="78">
        <f>'UG December 2026'!AO9+'UG November 2026'!AO9+'UG October 2026'!AO9+'UG September 2026'!AO9+'UG August 2026'!AO9+'UG July 2026'!AO9+'UG June 2026'!AO9+'UG May 2026'!AO9+'UG April 2026'!AO9+'UG March 2026'!AO9+'UG February 2026'!AO9+'UG January 2026'!AO9</f>
        <v>2</v>
      </c>
      <c r="M10" s="78">
        <f t="shared" si="4"/>
        <v>28</v>
      </c>
      <c r="N10" s="80">
        <f>'UG December 2026'!AP9+'UG November 2026'!AP9+'UG October 2026'!AP9+'UG September 2026'!AP9+'UG August 2026'!AP9+'UG July 2026'!AP9+'UG June 2026'!AP9+'UG May 2026'!AP9+'UG April 2026'!AP9+'UG March 2026'!AP9+'UG February 2026'!AP9+'UG January 2026'!AP9</f>
        <v>1</v>
      </c>
      <c r="O10" s="80">
        <f t="shared" si="5"/>
        <v>20</v>
      </c>
      <c r="P10" s="82">
        <f>'UG December 2026'!AQ9+'UG November 2026'!AQ9+'UG October 2026'!AQ9+'UG September 2026'!AQ9+'UG August 2026'!AQ9+'UG July 2026'!AQ9+'UG June 2026'!AQ9+'UG May 2026'!AQ9+'UG April 2026'!AQ9+'UG March 2026'!AQ9+'UG February 2026'!AQ9+'UG January 2026'!AQ9</f>
        <v>0</v>
      </c>
      <c r="Q10" s="83">
        <f t="shared" si="2"/>
        <v>60</v>
      </c>
      <c r="R10" s="78">
        <f>'UG December 2026'!AR9+'UG November 2026'!AR9+'UG October 2026'!AR9+'UG September 2026'!AR9+'UG August 2026'!AR9+'UG July 2026'!AR9+'UG June 2026'!AR9+'UG May 2026'!AR9+'UG April 2026'!AR9+'UG March 2026'!AR9+'UG February 2026'!AR9+'UG January 2026'!AR9</f>
        <v>0</v>
      </c>
      <c r="S10" s="92">
        <f t="shared" si="3"/>
        <v>0</v>
      </c>
      <c r="T10" s="11"/>
      <c r="U10" s="11"/>
      <c r="V10" s="11"/>
      <c r="W10" s="18" t="s">
        <v>78</v>
      </c>
      <c r="X10" s="20" t="s">
        <v>80</v>
      </c>
      <c r="Y10" s="21">
        <v>44348</v>
      </c>
      <c r="Z10" s="19" t="s">
        <v>79</v>
      </c>
      <c r="AA10" s="60"/>
    </row>
    <row r="11" spans="2:27" x14ac:dyDescent="0.35">
      <c r="B11" s="4" t="s">
        <v>39</v>
      </c>
      <c r="C11" s="9" t="s">
        <v>136</v>
      </c>
      <c r="D11" s="4" t="s">
        <v>49</v>
      </c>
      <c r="E11" s="4"/>
      <c r="F11" s="61">
        <f t="shared" si="0"/>
        <v>0</v>
      </c>
      <c r="G11" s="11"/>
      <c r="H11" s="11"/>
      <c r="I11" s="11"/>
      <c r="J11" s="96">
        <f>'UG December 2026'!AN10+'UG November 2026'!AN10+'UG October 2026'!AN10+'UG September 2026'!AN10+'UG August 2026'!AN10+'UG July 2026'!AN10+'UG June 2026'!AN10+'UG May 2026'!AN10+'UG April 2026'!AN10+'UG March 2026'!AN10+'UG February 2026'!AN10+'UG January 2026'!AN10</f>
        <v>0</v>
      </c>
      <c r="K11" s="96">
        <f t="shared" si="1"/>
        <v>4</v>
      </c>
      <c r="L11" s="78">
        <f>'UG December 2026'!AO10+'UG November 2026'!AO10+'UG October 2026'!AO10+'UG September 2026'!AO10+'UG August 2026'!AO10+'UG July 2026'!AO10+'UG June 2026'!AO10+'UG May 2026'!AO10+'UG April 2026'!AO10+'UG March 2026'!AO10+'UG February 2026'!AO10+'UG January 2026'!AO10</f>
        <v>0</v>
      </c>
      <c r="M11" s="78">
        <f t="shared" si="4"/>
        <v>30</v>
      </c>
      <c r="N11" s="80">
        <f>'UG December 2026'!AP10+'UG November 2026'!AP10+'UG October 2026'!AP10+'UG September 2026'!AP10+'UG August 2026'!AP10+'UG July 2026'!AP10+'UG June 2026'!AP10+'UG May 2026'!AP10+'UG April 2026'!AP10+'UG March 2026'!AP10+'UG February 2026'!AP10+'UG January 2026'!AP10</f>
        <v>1</v>
      </c>
      <c r="O11" s="80">
        <f t="shared" si="5"/>
        <v>20</v>
      </c>
      <c r="P11" s="82">
        <f>'UG December 2026'!AQ10+'UG November 2026'!AQ10+'UG October 2026'!AQ10+'UG September 2026'!AQ10+'UG August 2026'!AQ10+'UG July 2026'!AQ10+'UG June 2026'!AQ10+'UG May 2026'!AQ10+'UG April 2026'!AQ10+'UG March 2026'!AQ10+'UG February 2026'!AQ10+'UG January 2026'!AQ10</f>
        <v>0</v>
      </c>
      <c r="Q11" s="83">
        <f t="shared" si="2"/>
        <v>0</v>
      </c>
      <c r="R11" s="78">
        <f>'UG December 2026'!AR10+'UG November 2026'!AR10+'UG October 2026'!AR10+'UG September 2026'!AR10+'UG August 2026'!AR10+'UG July 2026'!AR10+'UG June 2026'!AR10+'UG May 2026'!AR10+'UG April 2026'!AR10+'UG March 2026'!AR10+'UG February 2026'!AR10+'UG January 2026'!AR10</f>
        <v>0</v>
      </c>
      <c r="S11" s="92">
        <f t="shared" si="3"/>
        <v>4</v>
      </c>
      <c r="T11" s="11"/>
      <c r="U11" s="11"/>
      <c r="V11" s="11"/>
      <c r="W11" s="18" t="s">
        <v>81</v>
      </c>
      <c r="X11" s="20" t="s">
        <v>83</v>
      </c>
      <c r="Y11" s="21">
        <v>43862</v>
      </c>
      <c r="Z11" s="19" t="s">
        <v>82</v>
      </c>
      <c r="AA11" s="60" t="s">
        <v>133</v>
      </c>
    </row>
    <row r="12" spans="2:27" x14ac:dyDescent="0.35">
      <c r="B12" s="4" t="s">
        <v>40</v>
      </c>
      <c r="C12" s="9" t="s">
        <v>136</v>
      </c>
      <c r="D12" s="4" t="s">
        <v>50</v>
      </c>
      <c r="E12" s="4"/>
      <c r="F12" s="61">
        <f t="shared" si="0"/>
        <v>0</v>
      </c>
      <c r="G12" s="11"/>
      <c r="H12" s="11"/>
      <c r="I12" s="11"/>
      <c r="J12" s="96">
        <f>'UG December 2026'!AN11+'UG November 2026'!AN11+'UG October 2026'!AN11+'UG September 2026'!AN11+'UG August 2026'!AN11+'UG July 2026'!AN11+'UG June 2026'!AN11+'UG May 2026'!AN11+'UG April 2026'!AN11+'UG March 2026'!AN11+'UG February 2026'!AN11+'UG January 2026'!AN11</f>
        <v>0</v>
      </c>
      <c r="K12" s="96">
        <f t="shared" si="1"/>
        <v>4</v>
      </c>
      <c r="L12" s="78">
        <f>'UG December 2026'!AO11+'UG November 2026'!AO11+'UG October 2026'!AO11+'UG September 2026'!AO11+'UG August 2026'!AO11+'UG July 2026'!AO11+'UG June 2026'!AO11+'UG May 2026'!AO11+'UG April 2026'!AO11+'UG March 2026'!AO11+'UG February 2026'!AO11+'UG January 2026'!AO11</f>
        <v>1</v>
      </c>
      <c r="M12" s="78">
        <f t="shared" si="4"/>
        <v>29</v>
      </c>
      <c r="N12" s="80">
        <f>'UG December 2026'!AP11+'UG November 2026'!AP11+'UG October 2026'!AP11+'UG September 2026'!AP11+'UG August 2026'!AP11+'UG July 2026'!AP11+'UG June 2026'!AP11+'UG May 2026'!AP11+'UG April 2026'!AP11+'UG March 2026'!AP11+'UG February 2026'!AP11+'UG January 2026'!AP11</f>
        <v>1</v>
      </c>
      <c r="O12" s="80">
        <f t="shared" si="5"/>
        <v>20</v>
      </c>
      <c r="P12" s="82">
        <f>'UG December 2026'!AQ11+'UG November 2026'!AQ11+'UG October 2026'!AQ11+'UG September 2026'!AQ11+'UG August 2026'!AQ11+'UG July 2026'!AQ11+'UG June 2026'!AQ11+'UG May 2026'!AQ11+'UG April 2026'!AQ11+'UG March 2026'!AQ11+'UG February 2026'!AQ11+'UG January 2026'!AQ11</f>
        <v>0</v>
      </c>
      <c r="Q12" s="83">
        <f t="shared" si="2"/>
        <v>0</v>
      </c>
      <c r="R12" s="78">
        <f>'UG December 2026'!AR11+'UG November 2026'!AR11+'UG October 2026'!AR11+'UG September 2026'!AR11+'UG August 2026'!AR11+'UG July 2026'!AR11+'UG June 2026'!AR11+'UG May 2026'!AR11+'UG April 2026'!AR11+'UG March 2026'!AR11+'UG February 2026'!AR11+'UG January 2026'!AR11</f>
        <v>0</v>
      </c>
      <c r="S12" s="92">
        <f t="shared" si="3"/>
        <v>4</v>
      </c>
      <c r="T12" s="11"/>
      <c r="U12" s="11"/>
      <c r="V12" s="11"/>
      <c r="W12" s="18" t="s">
        <v>81</v>
      </c>
      <c r="X12" s="20" t="s">
        <v>85</v>
      </c>
      <c r="Y12" s="21">
        <v>45108</v>
      </c>
      <c r="Z12" s="19" t="s">
        <v>84</v>
      </c>
      <c r="AA12" s="60" t="s">
        <v>129</v>
      </c>
    </row>
    <row r="13" spans="2:27" x14ac:dyDescent="0.35">
      <c r="B13" s="4" t="s">
        <v>41</v>
      </c>
      <c r="C13" s="9" t="s">
        <v>136</v>
      </c>
      <c r="D13" s="4" t="s">
        <v>51</v>
      </c>
      <c r="E13" s="4"/>
      <c r="F13" s="61">
        <f t="shared" si="0"/>
        <v>0</v>
      </c>
      <c r="G13" s="11"/>
      <c r="H13" s="11"/>
      <c r="I13" s="11"/>
      <c r="J13" s="96">
        <f>'UG December 2026'!AN12+'UG November 2026'!AN12+'UG October 2026'!AN12+'UG September 2026'!AN12+'UG August 2026'!AN12+'UG July 2026'!AN12+'UG June 2026'!AN12+'UG May 2026'!AN12+'UG April 2026'!AN12+'UG March 2026'!AN12+'UG February 2026'!AN12+'UG January 2026'!AN12</f>
        <v>0</v>
      </c>
      <c r="K13" s="96">
        <f t="shared" si="1"/>
        <v>4</v>
      </c>
      <c r="L13" s="78">
        <f>'UG December 2026'!AO12+'UG November 2026'!AO12+'UG October 2026'!AO12+'UG September 2026'!AO12+'UG August 2026'!AO12+'UG July 2026'!AO12+'UG June 2026'!AO12+'UG May 2026'!AO12+'UG April 2026'!AO12+'UG March 2026'!AO12+'UG February 2026'!AO12+'UG January 2026'!AO12</f>
        <v>0</v>
      </c>
      <c r="M13" s="78">
        <f t="shared" si="4"/>
        <v>30</v>
      </c>
      <c r="N13" s="80">
        <f>'UG December 2026'!AP12+'UG November 2026'!AP12+'UG October 2026'!AP12+'UG September 2026'!AP12+'UG August 2026'!AP12+'UG July 2026'!AP12+'UG June 2026'!AP12+'UG May 2026'!AP12+'UG April 2026'!AP12+'UG March 2026'!AP12+'UG February 2026'!AP12+'UG January 2026'!AP12</f>
        <v>0</v>
      </c>
      <c r="O13" s="80">
        <f t="shared" si="5"/>
        <v>21</v>
      </c>
      <c r="P13" s="82">
        <f>'UG December 2026'!AQ12+'UG November 2026'!AQ12+'UG October 2026'!AQ12+'UG September 2026'!AQ12+'UG August 2026'!AQ12+'UG July 2026'!AQ12+'UG June 2026'!AQ12+'UG May 2026'!AQ12+'UG April 2026'!AQ12+'UG March 2026'!AQ12+'UG February 2026'!AQ12+'UG January 2026'!AQ12</f>
        <v>0</v>
      </c>
      <c r="Q13" s="83">
        <f t="shared" si="2"/>
        <v>0</v>
      </c>
      <c r="R13" s="78">
        <f>'UG December 2026'!AR12+'UG November 2026'!AR12+'UG October 2026'!AR12+'UG September 2026'!AR12+'UG August 2026'!AR12+'UG July 2026'!AR12+'UG June 2026'!AR12+'UG May 2026'!AR12+'UG April 2026'!AR12+'UG March 2026'!AR12+'UG February 2026'!AR12+'UG January 2026'!AR12</f>
        <v>0</v>
      </c>
      <c r="S13" s="92">
        <f t="shared" si="3"/>
        <v>4</v>
      </c>
      <c r="T13" s="11"/>
      <c r="U13" s="11"/>
      <c r="V13" s="11"/>
      <c r="W13" s="18" t="s">
        <v>81</v>
      </c>
      <c r="X13" s="20" t="s">
        <v>87</v>
      </c>
      <c r="Y13" s="21">
        <v>45544</v>
      </c>
      <c r="Z13" s="19" t="s">
        <v>86</v>
      </c>
      <c r="AA13" s="60" t="s">
        <v>128</v>
      </c>
    </row>
    <row r="14" spans="2:27" x14ac:dyDescent="0.35">
      <c r="B14" s="4" t="s">
        <v>42</v>
      </c>
      <c r="C14" s="9" t="s">
        <v>136</v>
      </c>
      <c r="D14" s="4" t="s">
        <v>52</v>
      </c>
      <c r="E14" s="4"/>
      <c r="F14" s="61">
        <f t="shared" si="0"/>
        <v>0</v>
      </c>
      <c r="G14" s="11"/>
      <c r="H14" s="11"/>
      <c r="I14" s="11"/>
      <c r="J14" s="96">
        <f>'UG December 2026'!AN13+'UG November 2026'!AN13+'UG October 2026'!AN13+'UG September 2026'!AN13+'UG August 2026'!AN13+'UG July 2026'!AN13+'UG June 2026'!AN13+'UG May 2026'!AN13+'UG April 2026'!AN13+'UG March 2026'!AN13+'UG February 2026'!AN13+'UG January 2026'!AN13</f>
        <v>0</v>
      </c>
      <c r="K14" s="96">
        <f t="shared" si="1"/>
        <v>4</v>
      </c>
      <c r="L14" s="78">
        <f>'UG December 2026'!AO13+'UG November 2026'!AO13+'UG October 2026'!AO13+'UG September 2026'!AO13+'UG August 2026'!AO13+'UG July 2026'!AO13+'UG June 2026'!AO13+'UG May 2026'!AO13+'UG April 2026'!AO13+'UG March 2026'!AO13+'UG February 2026'!AO13+'UG January 2026'!AO13</f>
        <v>0</v>
      </c>
      <c r="M14" s="78">
        <f t="shared" si="4"/>
        <v>30</v>
      </c>
      <c r="N14" s="80">
        <f>'UG December 2026'!AP13+'UG November 2026'!AP13+'UG October 2026'!AP13+'UG September 2026'!AP13+'UG August 2026'!AP13+'UG July 2026'!AP13+'UG June 2026'!AP13+'UG May 2026'!AP13+'UG April 2026'!AP13+'UG March 2026'!AP13+'UG February 2026'!AP13+'UG January 2026'!AP13</f>
        <v>1</v>
      </c>
      <c r="O14" s="80">
        <f t="shared" si="5"/>
        <v>20</v>
      </c>
      <c r="P14" s="82">
        <f>'UG December 2026'!AQ13+'UG November 2026'!AQ13+'UG October 2026'!AQ13+'UG September 2026'!AQ13+'UG August 2026'!AQ13+'UG July 2026'!AQ13+'UG June 2026'!AQ13+'UG May 2026'!AQ13+'UG April 2026'!AQ13+'UG March 2026'!AQ13+'UG February 2026'!AQ13+'UG January 2026'!AQ13</f>
        <v>0</v>
      </c>
      <c r="Q14" s="83">
        <f t="shared" si="2"/>
        <v>0</v>
      </c>
      <c r="R14" s="78">
        <f>'UG December 2026'!AR13+'UG November 2026'!AR13+'UG October 2026'!AR13+'UG September 2026'!AR13+'UG August 2026'!AR13+'UG July 2026'!AR13+'UG June 2026'!AR13+'UG May 2026'!AR13+'UG April 2026'!AR13+'UG March 2026'!AR13+'UG February 2026'!AR13+'UG January 2026'!AR13</f>
        <v>0</v>
      </c>
      <c r="S14" s="92">
        <f t="shared" si="3"/>
        <v>4</v>
      </c>
      <c r="T14" s="11"/>
      <c r="U14" s="11"/>
      <c r="V14" s="11"/>
      <c r="W14" s="18" t="s">
        <v>81</v>
      </c>
      <c r="X14" s="20" t="s">
        <v>90</v>
      </c>
      <c r="Y14" s="21">
        <v>45663</v>
      </c>
      <c r="Z14" s="19" t="s">
        <v>89</v>
      </c>
      <c r="AA14" s="60" t="s">
        <v>127</v>
      </c>
    </row>
  </sheetData>
  <conditionalFormatting sqref="C5:E14">
    <cfRule type="containsText" dxfId="114" priority="7" operator="containsText" text="SL">
      <formula>NOT(ISERROR(SEARCH("SL",C5)))</formula>
    </cfRule>
  </conditionalFormatting>
  <conditionalFormatting sqref="F5:V14">
    <cfRule type="containsText" dxfId="113" priority="8" operator="containsText" text="AL">
      <formula>NOT(ISERROR(SEARCH("AL",F5)))</formula>
    </cfRule>
    <cfRule type="containsText" dxfId="112" priority="9" operator="containsText" text="P">
      <formula>NOT(ISERROR(SEARCH("P",F5)))</formula>
    </cfRule>
  </conditionalFormatting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489D4-CD91-48C8-95A8-10946A26EB9E}">
  <sheetPr codeName="Sheet5"/>
  <dimension ref="B2:AU18"/>
  <sheetViews>
    <sheetView zoomScaleNormal="100" workbookViewId="0">
      <pane xSplit="3" ySplit="3" topLeftCell="D4" activePane="bottomRight" state="frozen"/>
      <selection pane="topRight" activeCell="D1" sqref="D1"/>
      <selection pane="bottomLeft" activeCell="A3" sqref="A3"/>
      <selection pane="bottomRight" activeCell="C3" sqref="C3"/>
    </sheetView>
  </sheetViews>
  <sheetFormatPr defaultRowHeight="14.5" x14ac:dyDescent="0.35"/>
  <cols>
    <col min="1" max="1" width="3.81640625" customWidth="1"/>
    <col min="2" max="2" width="22.1796875" bestFit="1" customWidth="1"/>
    <col min="3" max="3" width="9.81640625" bestFit="1" customWidth="1"/>
    <col min="4" max="4" width="6.1796875" customWidth="1"/>
    <col min="5" max="6" width="5.81640625" customWidth="1"/>
    <col min="7" max="7" width="6" customWidth="1"/>
    <col min="8" max="8" width="5.453125" customWidth="1"/>
    <col min="9" max="9" width="5.7265625" customWidth="1"/>
    <col min="10" max="10" width="5.81640625" customWidth="1"/>
    <col min="11" max="11" width="5.54296875" customWidth="1"/>
    <col min="12" max="15" width="5.26953125" customWidth="1"/>
    <col min="16" max="16" width="5.7265625" customWidth="1"/>
    <col min="17" max="35" width="5.81640625" customWidth="1"/>
    <col min="36" max="36" width="4.81640625" style="62" customWidth="1"/>
    <col min="37" max="44" width="4.81640625" bestFit="1" customWidth="1"/>
    <col min="45" max="45" width="5" bestFit="1" customWidth="1"/>
    <col min="46" max="47" width="4.81640625" bestFit="1" customWidth="1"/>
  </cols>
  <sheetData>
    <row r="2" spans="2:47" ht="57.65" customHeight="1" x14ac:dyDescent="0.35">
      <c r="B2" s="13" t="s">
        <v>0</v>
      </c>
      <c r="C2" s="58">
        <v>46357</v>
      </c>
      <c r="D2" s="2">
        <v>45992</v>
      </c>
      <c r="E2" s="2">
        <v>45993</v>
      </c>
      <c r="F2" s="2">
        <v>45994</v>
      </c>
      <c r="G2" s="2">
        <v>45995</v>
      </c>
      <c r="H2" s="2">
        <v>45996</v>
      </c>
      <c r="I2" s="2">
        <v>45997</v>
      </c>
      <c r="J2" s="2">
        <v>45998</v>
      </c>
      <c r="K2" s="2">
        <v>45999</v>
      </c>
      <c r="L2" s="2">
        <v>46000</v>
      </c>
      <c r="M2" s="2">
        <v>46001</v>
      </c>
      <c r="N2" s="2">
        <v>46002</v>
      </c>
      <c r="O2" s="2">
        <v>46003</v>
      </c>
      <c r="P2" s="2">
        <v>46004</v>
      </c>
      <c r="Q2" s="2">
        <v>46005</v>
      </c>
      <c r="R2" s="2">
        <v>46006</v>
      </c>
      <c r="S2" s="2">
        <v>46007</v>
      </c>
      <c r="T2" s="2">
        <v>46008</v>
      </c>
      <c r="U2" s="2">
        <v>46009</v>
      </c>
      <c r="V2" s="2">
        <v>46010</v>
      </c>
      <c r="W2" s="2">
        <v>46011</v>
      </c>
      <c r="X2" s="2">
        <v>46012</v>
      </c>
      <c r="Y2" s="2">
        <v>46013</v>
      </c>
      <c r="Z2" s="2">
        <v>46014</v>
      </c>
      <c r="AA2" s="2">
        <v>46015</v>
      </c>
      <c r="AB2" s="2">
        <v>46016</v>
      </c>
      <c r="AC2" s="2">
        <v>46017</v>
      </c>
      <c r="AD2" s="2">
        <v>46018</v>
      </c>
      <c r="AE2" s="2">
        <v>46019</v>
      </c>
      <c r="AF2" s="2">
        <v>46020</v>
      </c>
      <c r="AG2" s="2">
        <v>46021</v>
      </c>
      <c r="AH2" s="2">
        <v>46022</v>
      </c>
      <c r="AI2" s="2"/>
      <c r="AJ2" s="12" t="s">
        <v>1</v>
      </c>
      <c r="AK2" s="12" t="s">
        <v>2</v>
      </c>
      <c r="AL2" s="12" t="s">
        <v>3</v>
      </c>
      <c r="AM2" s="12" t="s">
        <v>4</v>
      </c>
      <c r="AN2" s="12" t="s">
        <v>5</v>
      </c>
      <c r="AO2" s="12" t="s">
        <v>6</v>
      </c>
      <c r="AP2" s="12" t="s">
        <v>7</v>
      </c>
      <c r="AQ2" s="12" t="s">
        <v>8</v>
      </c>
      <c r="AR2" s="12" t="s">
        <v>9</v>
      </c>
      <c r="AS2" s="12" t="s">
        <v>10</v>
      </c>
      <c r="AT2" s="12" t="s">
        <v>11</v>
      </c>
      <c r="AU2" s="12" t="s">
        <v>12</v>
      </c>
    </row>
    <row r="3" spans="2:47" ht="32.25" customHeight="1" x14ac:dyDescent="0.35">
      <c r="B3" s="1" t="s">
        <v>13</v>
      </c>
      <c r="C3" s="1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15</v>
      </c>
      <c r="L3" s="3" t="s">
        <v>16</v>
      </c>
      <c r="M3" s="3" t="s">
        <v>17</v>
      </c>
      <c r="N3" s="3" t="s">
        <v>18</v>
      </c>
      <c r="O3" s="3" t="s">
        <v>19</v>
      </c>
      <c r="P3" s="3" t="s">
        <v>20</v>
      </c>
      <c r="Q3" s="3" t="s">
        <v>21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15</v>
      </c>
      <c r="Z3" s="3" t="s">
        <v>16</v>
      </c>
      <c r="AA3" s="3" t="s">
        <v>17</v>
      </c>
      <c r="AB3" s="3" t="s">
        <v>18</v>
      </c>
      <c r="AC3" s="3" t="s">
        <v>19</v>
      </c>
      <c r="AD3" s="3" t="s">
        <v>20</v>
      </c>
      <c r="AE3" s="3" t="s">
        <v>21</v>
      </c>
      <c r="AF3" s="3" t="s">
        <v>15</v>
      </c>
      <c r="AG3" s="3" t="s">
        <v>16</v>
      </c>
      <c r="AH3" s="10"/>
      <c r="AI3" s="10"/>
      <c r="AJ3" s="6" t="s">
        <v>22</v>
      </c>
      <c r="AK3" s="6" t="s">
        <v>53</v>
      </c>
      <c r="AL3" s="6" t="s">
        <v>91</v>
      </c>
      <c r="AM3" s="6" t="s">
        <v>25</v>
      </c>
      <c r="AN3" s="6" t="s">
        <v>26</v>
      </c>
      <c r="AO3" s="6" t="s">
        <v>27</v>
      </c>
      <c r="AP3" s="6" t="s">
        <v>28</v>
      </c>
      <c r="AQ3" s="6" t="s">
        <v>29</v>
      </c>
      <c r="AR3" s="6" t="s">
        <v>30</v>
      </c>
      <c r="AS3" s="6" t="s">
        <v>92</v>
      </c>
      <c r="AT3" s="6" t="s">
        <v>32</v>
      </c>
      <c r="AU3" s="6"/>
    </row>
    <row r="4" spans="2:47" x14ac:dyDescent="0.35">
      <c r="B4" s="4" t="s">
        <v>33</v>
      </c>
      <c r="C4" s="5" t="s">
        <v>43</v>
      </c>
      <c r="D4" s="7"/>
      <c r="E4" s="7"/>
      <c r="F4" s="7"/>
      <c r="G4" s="7"/>
      <c r="H4" s="7"/>
      <c r="I4" s="7"/>
      <c r="J4" s="7"/>
      <c r="K4" s="7"/>
      <c r="L4" s="8"/>
      <c r="M4" s="8"/>
      <c r="N4" s="8"/>
      <c r="O4" s="8"/>
      <c r="P4" s="7"/>
      <c r="Q4" s="7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61">
        <f t="shared" ref="AJ4:AJ13" si="0">COUNTIF(C4:AI4,"P")</f>
        <v>0</v>
      </c>
      <c r="AK4" s="11">
        <f t="shared" ref="AK4:AK13" si="1">COUNTIF(D4:AI4,"A")</f>
        <v>0</v>
      </c>
      <c r="AL4" s="11">
        <f t="shared" ref="AL4:AL13" si="2">COUNTIF(D4:AI4,"H")</f>
        <v>0</v>
      </c>
      <c r="AM4" s="11">
        <f t="shared" ref="AM4:AM13" si="3">COUNTIF(D4:AI4,"TR")</f>
        <v>0</v>
      </c>
      <c r="AN4" s="11">
        <f t="shared" ref="AN4:AN13" si="4">COUNTIF(D4:AI4,"CL")</f>
        <v>0</v>
      </c>
      <c r="AO4" s="11">
        <f t="shared" ref="AO4:AO13" si="5">COUNTIF(D4:AI4,"SL")</f>
        <v>0</v>
      </c>
      <c r="AP4" s="11">
        <f t="shared" ref="AP4:AP13" si="6">COUNTIF(D4:AI4,"AL")</f>
        <v>0</v>
      </c>
      <c r="AQ4" s="11">
        <f t="shared" ref="AQ4:AQ13" si="7">COUNTIF(D4:AI4,"ML")</f>
        <v>0</v>
      </c>
      <c r="AR4" s="11">
        <f t="shared" ref="AR4:AR13" si="8">COUNTIF(D4:AI4,"PL")</f>
        <v>0</v>
      </c>
      <c r="AS4" s="11">
        <f t="shared" ref="AS4:AS13" si="9">COUNTIF(D4:AI4,"WFH")</f>
        <v>0</v>
      </c>
      <c r="AT4" s="11">
        <f t="shared" ref="AT4:AT13" si="10">COUNTIF(D4:AI4,"NH")</f>
        <v>0</v>
      </c>
      <c r="AU4" s="11">
        <f>SUM(AJ4:AT4)</f>
        <v>0</v>
      </c>
    </row>
    <row r="5" spans="2:47" x14ac:dyDescent="0.35">
      <c r="B5" s="4" t="s">
        <v>34</v>
      </c>
      <c r="C5" s="4" t="s">
        <v>44</v>
      </c>
      <c r="D5" s="7"/>
      <c r="E5" s="7"/>
      <c r="F5" s="7"/>
      <c r="G5" s="7"/>
      <c r="H5" s="7"/>
      <c r="I5" s="7"/>
      <c r="J5" s="7"/>
      <c r="K5" s="7"/>
      <c r="L5" s="8"/>
      <c r="M5" s="8"/>
      <c r="N5" s="8"/>
      <c r="O5" s="8"/>
      <c r="P5" s="7"/>
      <c r="Q5" s="7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61">
        <f t="shared" si="0"/>
        <v>0</v>
      </c>
      <c r="AK5" s="11">
        <f t="shared" si="1"/>
        <v>0</v>
      </c>
      <c r="AL5" s="11">
        <f t="shared" si="2"/>
        <v>0</v>
      </c>
      <c r="AM5" s="11">
        <f t="shared" si="3"/>
        <v>0</v>
      </c>
      <c r="AN5" s="11">
        <f t="shared" si="4"/>
        <v>0</v>
      </c>
      <c r="AO5" s="11">
        <f t="shared" si="5"/>
        <v>0</v>
      </c>
      <c r="AP5" s="11">
        <f t="shared" si="6"/>
        <v>0</v>
      </c>
      <c r="AQ5" s="11">
        <f t="shared" si="7"/>
        <v>0</v>
      </c>
      <c r="AR5" s="11">
        <f t="shared" si="8"/>
        <v>0</v>
      </c>
      <c r="AS5" s="11">
        <f t="shared" si="9"/>
        <v>0</v>
      </c>
      <c r="AT5" s="11">
        <f t="shared" si="10"/>
        <v>0</v>
      </c>
      <c r="AU5" s="11">
        <f t="shared" ref="AU5:AU13" si="11">SUM(AJ5:AT5)</f>
        <v>0</v>
      </c>
    </row>
    <row r="6" spans="2:47" x14ac:dyDescent="0.35">
      <c r="B6" s="4" t="s">
        <v>35</v>
      </c>
      <c r="C6" s="4" t="s">
        <v>45</v>
      </c>
      <c r="D6" s="7"/>
      <c r="E6" s="9"/>
      <c r="F6" s="7"/>
      <c r="G6" s="7"/>
      <c r="H6" s="9"/>
      <c r="I6" s="9"/>
      <c r="J6" s="7"/>
      <c r="K6" s="7"/>
      <c r="L6" s="8"/>
      <c r="M6" s="8"/>
      <c r="N6" s="8"/>
      <c r="O6" s="8"/>
      <c r="P6" s="9"/>
      <c r="Q6" s="7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61">
        <f t="shared" si="0"/>
        <v>0</v>
      </c>
      <c r="AK6" s="11">
        <f t="shared" si="1"/>
        <v>0</v>
      </c>
      <c r="AL6" s="11">
        <f t="shared" si="2"/>
        <v>0</v>
      </c>
      <c r="AM6" s="11">
        <f t="shared" si="3"/>
        <v>0</v>
      </c>
      <c r="AN6" s="11">
        <f t="shared" si="4"/>
        <v>0</v>
      </c>
      <c r="AO6" s="11">
        <f t="shared" si="5"/>
        <v>0</v>
      </c>
      <c r="AP6" s="11">
        <f t="shared" si="6"/>
        <v>0</v>
      </c>
      <c r="AQ6" s="11">
        <f t="shared" si="7"/>
        <v>0</v>
      </c>
      <c r="AR6" s="11">
        <f t="shared" si="8"/>
        <v>0</v>
      </c>
      <c r="AS6" s="11">
        <f t="shared" si="9"/>
        <v>0</v>
      </c>
      <c r="AT6" s="11">
        <f t="shared" si="10"/>
        <v>0</v>
      </c>
      <c r="AU6" s="11">
        <f t="shared" si="11"/>
        <v>0</v>
      </c>
    </row>
    <row r="7" spans="2:47" x14ac:dyDescent="0.35">
      <c r="B7" s="4" t="s">
        <v>36</v>
      </c>
      <c r="C7" s="4" t="s">
        <v>46</v>
      </c>
      <c r="D7" s="7"/>
      <c r="E7" s="9"/>
      <c r="F7" s="7"/>
      <c r="G7" s="7"/>
      <c r="H7" s="9"/>
      <c r="I7" s="9"/>
      <c r="J7" s="7"/>
      <c r="K7" s="7"/>
      <c r="L7" s="8"/>
      <c r="M7" s="8"/>
      <c r="N7" s="8"/>
      <c r="O7" s="8"/>
      <c r="P7" s="9"/>
      <c r="Q7" s="7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61">
        <f t="shared" si="0"/>
        <v>0</v>
      </c>
      <c r="AK7" s="11">
        <f t="shared" si="1"/>
        <v>0</v>
      </c>
      <c r="AL7" s="11">
        <f t="shared" si="2"/>
        <v>0</v>
      </c>
      <c r="AM7" s="11">
        <f t="shared" si="3"/>
        <v>0</v>
      </c>
      <c r="AN7" s="11">
        <f t="shared" si="4"/>
        <v>0</v>
      </c>
      <c r="AO7" s="11">
        <f t="shared" si="5"/>
        <v>0</v>
      </c>
      <c r="AP7" s="11">
        <f t="shared" si="6"/>
        <v>0</v>
      </c>
      <c r="AQ7" s="11">
        <f t="shared" si="7"/>
        <v>0</v>
      </c>
      <c r="AR7" s="11">
        <f t="shared" si="8"/>
        <v>0</v>
      </c>
      <c r="AS7" s="11">
        <f t="shared" si="9"/>
        <v>0</v>
      </c>
      <c r="AT7" s="11">
        <f t="shared" si="10"/>
        <v>0</v>
      </c>
      <c r="AU7" s="11">
        <f t="shared" si="11"/>
        <v>0</v>
      </c>
    </row>
    <row r="8" spans="2:47" x14ac:dyDescent="0.35">
      <c r="B8" s="4" t="s">
        <v>37</v>
      </c>
      <c r="C8" s="4" t="s">
        <v>47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8"/>
      <c r="P8" s="9"/>
      <c r="Q8" s="7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61">
        <f t="shared" si="0"/>
        <v>0</v>
      </c>
      <c r="AK8" s="11">
        <f t="shared" si="1"/>
        <v>0</v>
      </c>
      <c r="AL8" s="11">
        <f t="shared" si="2"/>
        <v>0</v>
      </c>
      <c r="AM8" s="11">
        <f t="shared" si="3"/>
        <v>0</v>
      </c>
      <c r="AN8" s="11">
        <f t="shared" si="4"/>
        <v>0</v>
      </c>
      <c r="AO8" s="11">
        <f t="shared" si="5"/>
        <v>0</v>
      </c>
      <c r="AP8" s="11">
        <f t="shared" si="6"/>
        <v>0</v>
      </c>
      <c r="AQ8" s="11">
        <f t="shared" si="7"/>
        <v>0</v>
      </c>
      <c r="AR8" s="11">
        <f t="shared" si="8"/>
        <v>0</v>
      </c>
      <c r="AS8" s="11">
        <f t="shared" si="9"/>
        <v>0</v>
      </c>
      <c r="AT8" s="11">
        <f t="shared" si="10"/>
        <v>0</v>
      </c>
      <c r="AU8" s="11">
        <f t="shared" si="11"/>
        <v>0</v>
      </c>
    </row>
    <row r="9" spans="2:47" x14ac:dyDescent="0.35">
      <c r="B9" s="4" t="s">
        <v>38</v>
      </c>
      <c r="C9" s="4" t="s">
        <v>48</v>
      </c>
      <c r="D9" s="7"/>
      <c r="E9" s="9"/>
      <c r="F9" s="7"/>
      <c r="G9" s="7"/>
      <c r="H9" s="9"/>
      <c r="I9" s="9"/>
      <c r="J9" s="7"/>
      <c r="K9" s="7"/>
      <c r="L9" s="8"/>
      <c r="M9" s="8"/>
      <c r="N9" s="8"/>
      <c r="O9" s="8"/>
      <c r="P9" s="9"/>
      <c r="Q9" s="7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61">
        <f t="shared" si="0"/>
        <v>0</v>
      </c>
      <c r="AK9" s="11">
        <f t="shared" si="1"/>
        <v>0</v>
      </c>
      <c r="AL9" s="11">
        <f t="shared" si="2"/>
        <v>0</v>
      </c>
      <c r="AM9" s="11">
        <f t="shared" si="3"/>
        <v>0</v>
      </c>
      <c r="AN9" s="11">
        <f t="shared" si="4"/>
        <v>0</v>
      </c>
      <c r="AO9" s="11">
        <f t="shared" si="5"/>
        <v>0</v>
      </c>
      <c r="AP9" s="11">
        <f t="shared" si="6"/>
        <v>0</v>
      </c>
      <c r="AQ9" s="11">
        <f t="shared" si="7"/>
        <v>0</v>
      </c>
      <c r="AR9" s="11">
        <f t="shared" si="8"/>
        <v>0</v>
      </c>
      <c r="AS9" s="11">
        <f t="shared" si="9"/>
        <v>0</v>
      </c>
      <c r="AT9" s="11">
        <f t="shared" si="10"/>
        <v>0</v>
      </c>
      <c r="AU9" s="11">
        <f t="shared" si="11"/>
        <v>0</v>
      </c>
    </row>
    <row r="10" spans="2:47" x14ac:dyDescent="0.35">
      <c r="B10" s="4" t="s">
        <v>39</v>
      </c>
      <c r="C10" s="4" t="s">
        <v>49</v>
      </c>
      <c r="D10" s="7"/>
      <c r="E10" s="9"/>
      <c r="F10" s="7"/>
      <c r="G10" s="7"/>
      <c r="H10" s="9"/>
      <c r="I10" s="9"/>
      <c r="J10" s="7"/>
      <c r="K10" s="7"/>
      <c r="L10" s="8"/>
      <c r="M10" s="8"/>
      <c r="N10" s="8"/>
      <c r="O10" s="8"/>
      <c r="P10" s="9"/>
      <c r="Q10" s="7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61">
        <f t="shared" si="0"/>
        <v>0</v>
      </c>
      <c r="AK10" s="11">
        <f t="shared" si="1"/>
        <v>0</v>
      </c>
      <c r="AL10" s="11">
        <f t="shared" si="2"/>
        <v>0</v>
      </c>
      <c r="AM10" s="11">
        <f t="shared" si="3"/>
        <v>0</v>
      </c>
      <c r="AN10" s="11">
        <f t="shared" si="4"/>
        <v>0</v>
      </c>
      <c r="AO10" s="11">
        <f t="shared" si="5"/>
        <v>0</v>
      </c>
      <c r="AP10" s="11">
        <f t="shared" si="6"/>
        <v>0</v>
      </c>
      <c r="AQ10" s="11">
        <f t="shared" si="7"/>
        <v>0</v>
      </c>
      <c r="AR10" s="11">
        <f t="shared" si="8"/>
        <v>0</v>
      </c>
      <c r="AS10" s="11">
        <f t="shared" si="9"/>
        <v>0</v>
      </c>
      <c r="AT10" s="11">
        <f t="shared" si="10"/>
        <v>0</v>
      </c>
      <c r="AU10" s="11">
        <f t="shared" si="11"/>
        <v>0</v>
      </c>
    </row>
    <row r="11" spans="2:47" x14ac:dyDescent="0.35">
      <c r="B11" s="4" t="s">
        <v>40</v>
      </c>
      <c r="C11" s="4" t="s">
        <v>50</v>
      </c>
      <c r="D11" s="7"/>
      <c r="E11" s="9"/>
      <c r="F11" s="7"/>
      <c r="G11" s="7"/>
      <c r="H11" s="9"/>
      <c r="I11" s="9"/>
      <c r="J11" s="7"/>
      <c r="K11" s="7"/>
      <c r="L11" s="8"/>
      <c r="M11" s="8"/>
      <c r="N11" s="8"/>
      <c r="O11" s="8"/>
      <c r="P11" s="9"/>
      <c r="Q11" s="7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61">
        <f t="shared" si="0"/>
        <v>0</v>
      </c>
      <c r="AK11" s="11">
        <f t="shared" si="1"/>
        <v>0</v>
      </c>
      <c r="AL11" s="11">
        <f t="shared" si="2"/>
        <v>0</v>
      </c>
      <c r="AM11" s="11">
        <f t="shared" si="3"/>
        <v>0</v>
      </c>
      <c r="AN11" s="11">
        <f t="shared" si="4"/>
        <v>0</v>
      </c>
      <c r="AO11" s="11">
        <f t="shared" si="5"/>
        <v>0</v>
      </c>
      <c r="AP11" s="11">
        <f t="shared" si="6"/>
        <v>0</v>
      </c>
      <c r="AQ11" s="11">
        <f t="shared" si="7"/>
        <v>0</v>
      </c>
      <c r="AR11" s="11">
        <f t="shared" si="8"/>
        <v>0</v>
      </c>
      <c r="AS11" s="11">
        <f t="shared" si="9"/>
        <v>0</v>
      </c>
      <c r="AT11" s="11">
        <f t="shared" si="10"/>
        <v>0</v>
      </c>
      <c r="AU11" s="11">
        <f t="shared" si="11"/>
        <v>0</v>
      </c>
    </row>
    <row r="12" spans="2:47" x14ac:dyDescent="0.35">
      <c r="B12" s="4" t="s">
        <v>41</v>
      </c>
      <c r="C12" s="4" t="s">
        <v>51</v>
      </c>
      <c r="D12" s="7"/>
      <c r="E12" s="9"/>
      <c r="F12" s="7"/>
      <c r="G12" s="7"/>
      <c r="H12" s="9"/>
      <c r="I12" s="9"/>
      <c r="J12" s="7"/>
      <c r="K12" s="7"/>
      <c r="L12" s="8"/>
      <c r="M12" s="8"/>
      <c r="N12" s="8"/>
      <c r="O12" s="8"/>
      <c r="P12" s="9"/>
      <c r="Q12" s="7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61">
        <f t="shared" si="0"/>
        <v>0</v>
      </c>
      <c r="AK12" s="11">
        <f t="shared" si="1"/>
        <v>0</v>
      </c>
      <c r="AL12" s="11">
        <f t="shared" si="2"/>
        <v>0</v>
      </c>
      <c r="AM12" s="11">
        <f t="shared" si="3"/>
        <v>0</v>
      </c>
      <c r="AN12" s="11">
        <f t="shared" si="4"/>
        <v>0</v>
      </c>
      <c r="AO12" s="11">
        <f t="shared" si="5"/>
        <v>0</v>
      </c>
      <c r="AP12" s="11">
        <f t="shared" si="6"/>
        <v>0</v>
      </c>
      <c r="AQ12" s="11">
        <f t="shared" si="7"/>
        <v>0</v>
      </c>
      <c r="AR12" s="11">
        <f t="shared" si="8"/>
        <v>0</v>
      </c>
      <c r="AS12" s="11">
        <f t="shared" si="9"/>
        <v>0</v>
      </c>
      <c r="AT12" s="11">
        <f t="shared" si="10"/>
        <v>0</v>
      </c>
      <c r="AU12" s="11">
        <f t="shared" si="11"/>
        <v>0</v>
      </c>
    </row>
    <row r="13" spans="2:47" x14ac:dyDescent="0.35">
      <c r="B13" s="4" t="s">
        <v>42</v>
      </c>
      <c r="C13" s="4" t="s">
        <v>52</v>
      </c>
      <c r="D13" s="7"/>
      <c r="E13" s="9"/>
      <c r="F13" s="7"/>
      <c r="G13" s="7"/>
      <c r="H13" s="9"/>
      <c r="I13" s="9"/>
      <c r="J13" s="7"/>
      <c r="K13" s="7"/>
      <c r="L13" s="8"/>
      <c r="M13" s="8"/>
      <c r="N13" s="8"/>
      <c r="O13" s="8"/>
      <c r="P13" s="9"/>
      <c r="Q13" s="7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61">
        <f t="shared" si="0"/>
        <v>0</v>
      </c>
      <c r="AK13" s="11">
        <f t="shared" si="1"/>
        <v>0</v>
      </c>
      <c r="AL13" s="11">
        <f t="shared" si="2"/>
        <v>0</v>
      </c>
      <c r="AM13" s="11">
        <f t="shared" si="3"/>
        <v>0</v>
      </c>
      <c r="AN13" s="11">
        <f t="shared" si="4"/>
        <v>0</v>
      </c>
      <c r="AO13" s="11">
        <f t="shared" si="5"/>
        <v>0</v>
      </c>
      <c r="AP13" s="11">
        <f t="shared" si="6"/>
        <v>0</v>
      </c>
      <c r="AQ13" s="11">
        <f t="shared" si="7"/>
        <v>0</v>
      </c>
      <c r="AR13" s="11">
        <f t="shared" si="8"/>
        <v>0</v>
      </c>
      <c r="AS13" s="11">
        <f t="shared" si="9"/>
        <v>0</v>
      </c>
      <c r="AT13" s="11">
        <f t="shared" si="10"/>
        <v>0</v>
      </c>
      <c r="AU13" s="11">
        <f t="shared" si="11"/>
        <v>0</v>
      </c>
    </row>
    <row r="18" spans="12:12" x14ac:dyDescent="0.35">
      <c r="L18" s="89"/>
    </row>
  </sheetData>
  <phoneticPr fontId="3" type="noConversion"/>
  <conditionalFormatting sqref="C4:AI13">
    <cfRule type="containsText" dxfId="111" priority="7" operator="containsText" text="SL">
      <formula>NOT(ISERROR(SEARCH("SL",C4)))</formula>
    </cfRule>
  </conditionalFormatting>
  <conditionalFormatting sqref="D3:AI13">
    <cfRule type="containsText" dxfId="110" priority="6" operator="containsText" text="TR">
      <formula>NOT(ISERROR(SEARCH("TR",D3)))</formula>
    </cfRule>
  </conditionalFormatting>
  <conditionalFormatting sqref="D4:AI13">
    <cfRule type="containsText" dxfId="109" priority="1" operator="containsText" text="ML">
      <formula>NOT(ISERROR(SEARCH("ML",D4)))</formula>
    </cfRule>
    <cfRule type="beginsWith" dxfId="108" priority="2" operator="beginsWith" text="AB">
      <formula>LEFT(D4,LEN("AB"))="AB"</formula>
    </cfRule>
    <cfRule type="beginsWith" dxfId="107" priority="3" operator="beginsWith" text="H">
      <formula>LEFT(D4,LEN("H"))="H"</formula>
    </cfRule>
    <cfRule type="containsText" dxfId="106" priority="4" operator="containsText" text="PL">
      <formula>NOT(ISERROR(SEARCH("PL",D4)))</formula>
    </cfRule>
    <cfRule type="containsText" dxfId="105" priority="5" operator="containsText" text="WFH">
      <formula>NOT(ISERROR(SEARCH("WFH",D4)))</formula>
    </cfRule>
  </conditionalFormatting>
  <conditionalFormatting sqref="D4:AU13">
    <cfRule type="containsText" dxfId="104" priority="8" operator="containsText" text="AL">
      <formula>NOT(ISERROR(SEARCH("AL",D4)))</formula>
    </cfRule>
    <cfRule type="containsText" dxfId="103" priority="9" operator="containsText" text="P">
      <formula>NOT(ISERROR(SEARCH("P",D4)))</formula>
    </cfRule>
  </conditionalFormatting>
  <dataValidations count="1">
    <dataValidation type="list" allowBlank="1" showInputMessage="1" showErrorMessage="1" sqref="D4:AI13" xr:uid="{B529D7A9-384A-4A3B-BCD3-9EFC288EB32A}">
      <formula1>$AJ$3:$AT$3</formula1>
    </dataValidation>
  </dataValidations>
  <pageMargins left="0.7" right="0.7" top="0.75" bottom="0.75" header="0.3" footer="0.3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0B152-CC15-4460-9945-994BE25B4D28}">
  <sheetPr codeName="Sheet6"/>
  <dimension ref="B2:AU21"/>
  <sheetViews>
    <sheetView zoomScaleNormal="100" workbookViewId="0">
      <pane xSplit="3" ySplit="3" topLeftCell="D4" activePane="bottomRight" state="frozen"/>
      <selection pane="topRight" activeCell="D1" sqref="D1"/>
      <selection pane="bottomLeft" activeCell="A3" sqref="A3"/>
      <selection pane="bottomRight" activeCell="C3" sqref="C3"/>
    </sheetView>
  </sheetViews>
  <sheetFormatPr defaultRowHeight="14.5" x14ac:dyDescent="0.35"/>
  <cols>
    <col min="1" max="1" width="3.81640625" customWidth="1"/>
    <col min="2" max="2" width="22.1796875" bestFit="1" customWidth="1"/>
    <col min="3" max="3" width="9.81640625" bestFit="1" customWidth="1"/>
    <col min="4" max="4" width="6.1796875" customWidth="1"/>
    <col min="5" max="5" width="5.7265625" customWidth="1"/>
    <col min="6" max="6" width="6.1796875" customWidth="1"/>
    <col min="7" max="8" width="5.81640625" customWidth="1"/>
    <col min="9" max="9" width="6" customWidth="1"/>
    <col min="10" max="10" width="5.453125" customWidth="1"/>
    <col min="11" max="11" width="5.7265625" customWidth="1"/>
    <col min="12" max="12" width="5.81640625" customWidth="1"/>
    <col min="13" max="13" width="5.54296875" customWidth="1"/>
    <col min="14" max="17" width="5.26953125" customWidth="1"/>
    <col min="18" max="18" width="5.7265625" customWidth="1"/>
    <col min="19" max="35" width="5.81640625" customWidth="1"/>
    <col min="36" max="36" width="4.81640625" style="62" customWidth="1"/>
    <col min="37" max="44" width="4.81640625" bestFit="1" customWidth="1"/>
    <col min="45" max="45" width="5" bestFit="1" customWidth="1"/>
    <col min="46" max="47" width="4.81640625" bestFit="1" customWidth="1"/>
  </cols>
  <sheetData>
    <row r="2" spans="2:47" ht="57.65" customHeight="1" x14ac:dyDescent="0.35">
      <c r="B2" s="13" t="s">
        <v>0</v>
      </c>
      <c r="C2" s="58">
        <v>46327</v>
      </c>
      <c r="D2" s="2">
        <v>45962</v>
      </c>
      <c r="E2" s="2">
        <v>45963</v>
      </c>
      <c r="F2" s="2">
        <v>45964</v>
      </c>
      <c r="G2" s="2">
        <v>45965</v>
      </c>
      <c r="H2" s="2">
        <v>45966</v>
      </c>
      <c r="I2" s="2">
        <v>45967</v>
      </c>
      <c r="J2" s="2">
        <v>45968</v>
      </c>
      <c r="K2" s="2">
        <v>45969</v>
      </c>
      <c r="L2" s="2">
        <v>45970</v>
      </c>
      <c r="M2" s="2">
        <v>45971</v>
      </c>
      <c r="N2" s="2">
        <v>45972</v>
      </c>
      <c r="O2" s="2">
        <v>45973</v>
      </c>
      <c r="P2" s="2">
        <v>45974</v>
      </c>
      <c r="Q2" s="2">
        <v>45975</v>
      </c>
      <c r="R2" s="2">
        <v>45976</v>
      </c>
      <c r="S2" s="2">
        <v>45977</v>
      </c>
      <c r="T2" s="2">
        <v>45978</v>
      </c>
      <c r="U2" s="2">
        <v>45979</v>
      </c>
      <c r="V2" s="2">
        <v>45980</v>
      </c>
      <c r="W2" s="2">
        <v>45981</v>
      </c>
      <c r="X2" s="2">
        <v>45982</v>
      </c>
      <c r="Y2" s="2">
        <v>45983</v>
      </c>
      <c r="Z2" s="2">
        <v>45984</v>
      </c>
      <c r="AA2" s="2">
        <v>45985</v>
      </c>
      <c r="AB2" s="2">
        <v>45986</v>
      </c>
      <c r="AC2" s="2">
        <v>45987</v>
      </c>
      <c r="AD2" s="2">
        <v>45988</v>
      </c>
      <c r="AE2" s="2">
        <v>45989</v>
      </c>
      <c r="AF2" s="2">
        <v>45990</v>
      </c>
      <c r="AG2" s="2">
        <v>45991</v>
      </c>
      <c r="AH2" s="2"/>
      <c r="AI2" s="2"/>
      <c r="AJ2" s="12" t="s">
        <v>1</v>
      </c>
      <c r="AK2" s="12" t="s">
        <v>2</v>
      </c>
      <c r="AL2" s="12" t="s">
        <v>3</v>
      </c>
      <c r="AM2" s="12" t="s">
        <v>4</v>
      </c>
      <c r="AN2" s="12" t="s">
        <v>5</v>
      </c>
      <c r="AO2" s="12" t="s">
        <v>6</v>
      </c>
      <c r="AP2" s="12" t="s">
        <v>7</v>
      </c>
      <c r="AQ2" s="12" t="s">
        <v>8</v>
      </c>
      <c r="AR2" s="12" t="s">
        <v>9</v>
      </c>
      <c r="AS2" s="12" t="s">
        <v>10</v>
      </c>
      <c r="AT2" s="12" t="s">
        <v>11</v>
      </c>
      <c r="AU2" s="12" t="s">
        <v>12</v>
      </c>
    </row>
    <row r="3" spans="2:47" ht="32.25" customHeight="1" x14ac:dyDescent="0.35">
      <c r="B3" s="1" t="s">
        <v>13</v>
      </c>
      <c r="C3" s="1" t="s">
        <v>14</v>
      </c>
      <c r="D3" s="3" t="s">
        <v>20</v>
      </c>
      <c r="E3" s="3" t="s">
        <v>21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19</v>
      </c>
      <c r="K3" s="3" t="s">
        <v>20</v>
      </c>
      <c r="L3" s="3" t="s">
        <v>21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15</v>
      </c>
      <c r="U3" s="3" t="s">
        <v>16</v>
      </c>
      <c r="V3" s="3" t="s">
        <v>17</v>
      </c>
      <c r="W3" s="3" t="s">
        <v>18</v>
      </c>
      <c r="X3" s="3" t="s">
        <v>19</v>
      </c>
      <c r="Y3" s="3" t="s">
        <v>20</v>
      </c>
      <c r="Z3" s="3" t="s">
        <v>21</v>
      </c>
      <c r="AA3" s="3" t="s">
        <v>15</v>
      </c>
      <c r="AB3" s="3" t="s">
        <v>16</v>
      </c>
      <c r="AC3" s="3" t="s">
        <v>17</v>
      </c>
      <c r="AD3" s="3" t="s">
        <v>18</v>
      </c>
      <c r="AE3" s="3" t="s">
        <v>19</v>
      </c>
      <c r="AF3" s="3" t="s">
        <v>20</v>
      </c>
      <c r="AG3" s="3" t="s">
        <v>21</v>
      </c>
      <c r="AH3" s="10"/>
      <c r="AI3" s="10"/>
      <c r="AJ3" s="6" t="s">
        <v>22</v>
      </c>
      <c r="AK3" s="6" t="s">
        <v>53</v>
      </c>
      <c r="AL3" s="6" t="s">
        <v>91</v>
      </c>
      <c r="AM3" s="6" t="s">
        <v>25</v>
      </c>
      <c r="AN3" s="6" t="s">
        <v>26</v>
      </c>
      <c r="AO3" s="6" t="s">
        <v>27</v>
      </c>
      <c r="AP3" s="6" t="s">
        <v>28</v>
      </c>
      <c r="AQ3" s="6" t="s">
        <v>29</v>
      </c>
      <c r="AR3" s="6" t="s">
        <v>30</v>
      </c>
      <c r="AS3" s="6" t="s">
        <v>92</v>
      </c>
      <c r="AT3" s="6" t="s">
        <v>32</v>
      </c>
      <c r="AU3" s="6"/>
    </row>
    <row r="4" spans="2:47" x14ac:dyDescent="0.35">
      <c r="B4" s="4" t="s">
        <v>33</v>
      </c>
      <c r="C4" s="5" t="s">
        <v>43</v>
      </c>
      <c r="D4" s="7"/>
      <c r="E4" s="7"/>
      <c r="F4" s="7"/>
      <c r="G4" s="7"/>
      <c r="H4" s="7"/>
      <c r="I4" s="7"/>
      <c r="J4" s="7"/>
      <c r="K4" s="7"/>
      <c r="L4" s="7"/>
      <c r="M4" s="7"/>
      <c r="N4" s="8"/>
      <c r="O4" s="8"/>
      <c r="P4" s="8"/>
      <c r="Q4" s="8"/>
      <c r="R4" s="7"/>
      <c r="S4" s="7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61">
        <f t="shared" ref="AJ4:AJ13" si="0">COUNTIF(C4:AI4,"P")</f>
        <v>0</v>
      </c>
      <c r="AK4" s="11">
        <f t="shared" ref="AK4:AK13" si="1">COUNTIF(D4:AI4,"A")</f>
        <v>0</v>
      </c>
      <c r="AL4" s="11">
        <f t="shared" ref="AL4:AL13" si="2">COUNTIF(D4:AI4,"H")</f>
        <v>0</v>
      </c>
      <c r="AM4" s="11">
        <f t="shared" ref="AM4:AM13" si="3">COUNTIF(D4:AI4,"TR")</f>
        <v>0</v>
      </c>
      <c r="AN4" s="11">
        <f t="shared" ref="AN4:AN13" si="4">COUNTIF(D4:AI4,"CL")</f>
        <v>0</v>
      </c>
      <c r="AO4" s="11">
        <f t="shared" ref="AO4:AO13" si="5">COUNTIF(D4:AI4,"SL")</f>
        <v>0</v>
      </c>
      <c r="AP4" s="11">
        <f t="shared" ref="AP4:AP13" si="6">COUNTIF(D4:AI4,"AL")</f>
        <v>0</v>
      </c>
      <c r="AQ4" s="11">
        <f t="shared" ref="AQ4:AQ13" si="7">COUNTIF(D4:AI4,"ML")</f>
        <v>0</v>
      </c>
      <c r="AR4" s="11">
        <f t="shared" ref="AR4:AR13" si="8">COUNTIF(D4:AI4,"PL")</f>
        <v>0</v>
      </c>
      <c r="AS4" s="11">
        <f t="shared" ref="AS4:AS13" si="9">COUNTIF(D4:AI4,"WFH")</f>
        <v>0</v>
      </c>
      <c r="AT4" s="11">
        <f t="shared" ref="AT4:AT13" si="10">COUNTIF(D4:AI4,"NH")</f>
        <v>0</v>
      </c>
      <c r="AU4" s="11">
        <f>SUM(AJ4:AT4)</f>
        <v>0</v>
      </c>
    </row>
    <row r="5" spans="2:47" x14ac:dyDescent="0.35">
      <c r="B5" s="4" t="s">
        <v>34</v>
      </c>
      <c r="C5" s="4" t="s">
        <v>44</v>
      </c>
      <c r="D5" s="7"/>
      <c r="E5" s="7"/>
      <c r="F5" s="7"/>
      <c r="G5" s="7"/>
      <c r="H5" s="7"/>
      <c r="I5" s="7"/>
      <c r="J5" s="7"/>
      <c r="K5" s="7"/>
      <c r="L5" s="7"/>
      <c r="M5" s="7"/>
      <c r="N5" s="8"/>
      <c r="O5" s="8"/>
      <c r="P5" s="8"/>
      <c r="Q5" s="8"/>
      <c r="R5" s="7"/>
      <c r="S5" s="7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61">
        <f t="shared" si="0"/>
        <v>0</v>
      </c>
      <c r="AK5" s="11">
        <f t="shared" si="1"/>
        <v>0</v>
      </c>
      <c r="AL5" s="11">
        <f t="shared" si="2"/>
        <v>0</v>
      </c>
      <c r="AM5" s="11">
        <f t="shared" si="3"/>
        <v>0</v>
      </c>
      <c r="AN5" s="11">
        <f t="shared" si="4"/>
        <v>0</v>
      </c>
      <c r="AO5" s="11">
        <f t="shared" si="5"/>
        <v>0</v>
      </c>
      <c r="AP5" s="11">
        <f t="shared" si="6"/>
        <v>0</v>
      </c>
      <c r="AQ5" s="11">
        <f t="shared" si="7"/>
        <v>0</v>
      </c>
      <c r="AR5" s="11">
        <f t="shared" si="8"/>
        <v>0</v>
      </c>
      <c r="AS5" s="11">
        <f t="shared" si="9"/>
        <v>0</v>
      </c>
      <c r="AT5" s="11">
        <f t="shared" si="10"/>
        <v>0</v>
      </c>
      <c r="AU5" s="11">
        <f t="shared" ref="AU5:AU13" si="11">SUM(AJ5:AT5)</f>
        <v>0</v>
      </c>
    </row>
    <row r="6" spans="2:47" x14ac:dyDescent="0.35">
      <c r="B6" s="4" t="s">
        <v>35</v>
      </c>
      <c r="C6" s="4" t="s">
        <v>45</v>
      </c>
      <c r="D6" s="9"/>
      <c r="E6" s="7"/>
      <c r="F6" s="7"/>
      <c r="G6" s="9"/>
      <c r="H6" s="7"/>
      <c r="I6" s="7"/>
      <c r="J6" s="9"/>
      <c r="K6" s="9"/>
      <c r="L6" s="7"/>
      <c r="M6" s="7"/>
      <c r="N6" s="8"/>
      <c r="O6" s="8"/>
      <c r="P6" s="8"/>
      <c r="Q6" s="8"/>
      <c r="R6" s="9"/>
      <c r="S6" s="7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61">
        <f t="shared" si="0"/>
        <v>0</v>
      </c>
      <c r="AK6" s="11">
        <f t="shared" si="1"/>
        <v>0</v>
      </c>
      <c r="AL6" s="11">
        <f t="shared" si="2"/>
        <v>0</v>
      </c>
      <c r="AM6" s="11">
        <f t="shared" si="3"/>
        <v>0</v>
      </c>
      <c r="AN6" s="11">
        <f t="shared" si="4"/>
        <v>0</v>
      </c>
      <c r="AO6" s="11">
        <f t="shared" si="5"/>
        <v>0</v>
      </c>
      <c r="AP6" s="11">
        <f t="shared" si="6"/>
        <v>0</v>
      </c>
      <c r="AQ6" s="11">
        <f t="shared" si="7"/>
        <v>0</v>
      </c>
      <c r="AR6" s="11">
        <f t="shared" si="8"/>
        <v>0</v>
      </c>
      <c r="AS6" s="11">
        <f t="shared" si="9"/>
        <v>0</v>
      </c>
      <c r="AT6" s="11">
        <f t="shared" si="10"/>
        <v>0</v>
      </c>
      <c r="AU6" s="11">
        <f t="shared" si="11"/>
        <v>0</v>
      </c>
    </row>
    <row r="7" spans="2:47" x14ac:dyDescent="0.35">
      <c r="B7" s="4" t="s">
        <v>36</v>
      </c>
      <c r="C7" s="4" t="s">
        <v>46</v>
      </c>
      <c r="D7" s="9"/>
      <c r="E7" s="7"/>
      <c r="F7" s="7"/>
      <c r="G7" s="9"/>
      <c r="H7" s="7"/>
      <c r="I7" s="7"/>
      <c r="J7" s="9"/>
      <c r="K7" s="9"/>
      <c r="L7" s="7"/>
      <c r="M7" s="7"/>
      <c r="N7" s="8"/>
      <c r="O7" s="8"/>
      <c r="P7" s="8"/>
      <c r="Q7" s="8"/>
      <c r="R7" s="9"/>
      <c r="S7" s="7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61">
        <f t="shared" si="0"/>
        <v>0</v>
      </c>
      <c r="AK7" s="11">
        <f t="shared" si="1"/>
        <v>0</v>
      </c>
      <c r="AL7" s="11">
        <f t="shared" si="2"/>
        <v>0</v>
      </c>
      <c r="AM7" s="11">
        <f t="shared" si="3"/>
        <v>0</v>
      </c>
      <c r="AN7" s="11">
        <f t="shared" si="4"/>
        <v>0</v>
      </c>
      <c r="AO7" s="11">
        <f t="shared" si="5"/>
        <v>0</v>
      </c>
      <c r="AP7" s="11">
        <f t="shared" si="6"/>
        <v>0</v>
      </c>
      <c r="AQ7" s="11">
        <f t="shared" si="7"/>
        <v>0</v>
      </c>
      <c r="AR7" s="11">
        <f t="shared" si="8"/>
        <v>0</v>
      </c>
      <c r="AS7" s="11">
        <f t="shared" si="9"/>
        <v>0</v>
      </c>
      <c r="AT7" s="11">
        <f t="shared" si="10"/>
        <v>0</v>
      </c>
      <c r="AU7" s="11">
        <f t="shared" si="11"/>
        <v>0</v>
      </c>
    </row>
    <row r="8" spans="2:47" x14ac:dyDescent="0.35">
      <c r="B8" s="4" t="s">
        <v>37</v>
      </c>
      <c r="C8" s="4" t="s">
        <v>47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8"/>
      <c r="R8" s="9"/>
      <c r="S8" s="7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61">
        <f t="shared" si="0"/>
        <v>0</v>
      </c>
      <c r="AK8" s="11">
        <f t="shared" si="1"/>
        <v>0</v>
      </c>
      <c r="AL8" s="11">
        <f t="shared" si="2"/>
        <v>0</v>
      </c>
      <c r="AM8" s="11">
        <f t="shared" si="3"/>
        <v>0</v>
      </c>
      <c r="AN8" s="11">
        <f t="shared" si="4"/>
        <v>0</v>
      </c>
      <c r="AO8" s="11">
        <f t="shared" si="5"/>
        <v>0</v>
      </c>
      <c r="AP8" s="11">
        <f t="shared" si="6"/>
        <v>0</v>
      </c>
      <c r="AQ8" s="11">
        <f t="shared" si="7"/>
        <v>0</v>
      </c>
      <c r="AR8" s="11">
        <f t="shared" si="8"/>
        <v>0</v>
      </c>
      <c r="AS8" s="11">
        <f t="shared" si="9"/>
        <v>0</v>
      </c>
      <c r="AT8" s="11">
        <f t="shared" si="10"/>
        <v>0</v>
      </c>
      <c r="AU8" s="11">
        <f t="shared" si="11"/>
        <v>0</v>
      </c>
    </row>
    <row r="9" spans="2:47" x14ac:dyDescent="0.35">
      <c r="B9" s="4" t="s">
        <v>38</v>
      </c>
      <c r="C9" s="4" t="s">
        <v>48</v>
      </c>
      <c r="D9" s="9"/>
      <c r="E9" s="7"/>
      <c r="F9" s="7"/>
      <c r="G9" s="9"/>
      <c r="H9" s="7"/>
      <c r="I9" s="7"/>
      <c r="J9" s="9"/>
      <c r="K9" s="9"/>
      <c r="L9" s="7"/>
      <c r="M9" s="7"/>
      <c r="N9" s="8"/>
      <c r="O9" s="8"/>
      <c r="P9" s="8"/>
      <c r="Q9" s="8"/>
      <c r="R9" s="9"/>
      <c r="S9" s="7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61">
        <f t="shared" si="0"/>
        <v>0</v>
      </c>
      <c r="AK9" s="11">
        <f t="shared" si="1"/>
        <v>0</v>
      </c>
      <c r="AL9" s="11">
        <f t="shared" si="2"/>
        <v>0</v>
      </c>
      <c r="AM9" s="11">
        <f t="shared" si="3"/>
        <v>0</v>
      </c>
      <c r="AN9" s="11">
        <f t="shared" si="4"/>
        <v>0</v>
      </c>
      <c r="AO9" s="11">
        <f t="shared" si="5"/>
        <v>0</v>
      </c>
      <c r="AP9" s="11">
        <f t="shared" si="6"/>
        <v>0</v>
      </c>
      <c r="AQ9" s="11">
        <f t="shared" si="7"/>
        <v>0</v>
      </c>
      <c r="AR9" s="11">
        <f t="shared" si="8"/>
        <v>0</v>
      </c>
      <c r="AS9" s="11">
        <f t="shared" si="9"/>
        <v>0</v>
      </c>
      <c r="AT9" s="11">
        <f t="shared" si="10"/>
        <v>0</v>
      </c>
      <c r="AU9" s="11">
        <f t="shared" si="11"/>
        <v>0</v>
      </c>
    </row>
    <row r="10" spans="2:47" x14ac:dyDescent="0.35">
      <c r="B10" s="4" t="s">
        <v>39</v>
      </c>
      <c r="C10" s="4" t="s">
        <v>49</v>
      </c>
      <c r="D10" s="9"/>
      <c r="E10" s="7"/>
      <c r="F10" s="7"/>
      <c r="G10" s="9"/>
      <c r="H10" s="7"/>
      <c r="I10" s="7"/>
      <c r="J10" s="9"/>
      <c r="K10" s="9"/>
      <c r="L10" s="7"/>
      <c r="M10" s="7"/>
      <c r="N10" s="8"/>
      <c r="O10" s="8"/>
      <c r="P10" s="8"/>
      <c r="Q10" s="8"/>
      <c r="R10" s="9"/>
      <c r="S10" s="7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61">
        <f t="shared" si="0"/>
        <v>0</v>
      </c>
      <c r="AK10" s="11">
        <f t="shared" si="1"/>
        <v>0</v>
      </c>
      <c r="AL10" s="11">
        <f t="shared" si="2"/>
        <v>0</v>
      </c>
      <c r="AM10" s="11">
        <f t="shared" si="3"/>
        <v>0</v>
      </c>
      <c r="AN10" s="11">
        <f t="shared" si="4"/>
        <v>0</v>
      </c>
      <c r="AO10" s="11">
        <f t="shared" si="5"/>
        <v>0</v>
      </c>
      <c r="AP10" s="11">
        <f t="shared" si="6"/>
        <v>0</v>
      </c>
      <c r="AQ10" s="11">
        <f t="shared" si="7"/>
        <v>0</v>
      </c>
      <c r="AR10" s="11">
        <f t="shared" si="8"/>
        <v>0</v>
      </c>
      <c r="AS10" s="11">
        <f t="shared" si="9"/>
        <v>0</v>
      </c>
      <c r="AT10" s="11">
        <f t="shared" si="10"/>
        <v>0</v>
      </c>
      <c r="AU10" s="11">
        <f t="shared" si="11"/>
        <v>0</v>
      </c>
    </row>
    <row r="11" spans="2:47" x14ac:dyDescent="0.35">
      <c r="B11" s="4" t="s">
        <v>40</v>
      </c>
      <c r="C11" s="4" t="s">
        <v>50</v>
      </c>
      <c r="D11" s="9"/>
      <c r="E11" s="7"/>
      <c r="F11" s="7"/>
      <c r="G11" s="9"/>
      <c r="H11" s="7"/>
      <c r="I11" s="7"/>
      <c r="J11" s="9"/>
      <c r="K11" s="9"/>
      <c r="L11" s="7"/>
      <c r="M11" s="7"/>
      <c r="N11" s="8"/>
      <c r="O11" s="8"/>
      <c r="P11" s="8"/>
      <c r="Q11" s="8"/>
      <c r="R11" s="9"/>
      <c r="S11" s="7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61">
        <f t="shared" si="0"/>
        <v>0</v>
      </c>
      <c r="AK11" s="11">
        <f t="shared" si="1"/>
        <v>0</v>
      </c>
      <c r="AL11" s="11">
        <f t="shared" si="2"/>
        <v>0</v>
      </c>
      <c r="AM11" s="11">
        <f t="shared" si="3"/>
        <v>0</v>
      </c>
      <c r="AN11" s="11">
        <f t="shared" si="4"/>
        <v>0</v>
      </c>
      <c r="AO11" s="11">
        <f t="shared" si="5"/>
        <v>0</v>
      </c>
      <c r="AP11" s="11">
        <f t="shared" si="6"/>
        <v>0</v>
      </c>
      <c r="AQ11" s="11">
        <f t="shared" si="7"/>
        <v>0</v>
      </c>
      <c r="AR11" s="11">
        <f t="shared" si="8"/>
        <v>0</v>
      </c>
      <c r="AS11" s="11">
        <f t="shared" si="9"/>
        <v>0</v>
      </c>
      <c r="AT11" s="11">
        <f t="shared" si="10"/>
        <v>0</v>
      </c>
      <c r="AU11" s="11">
        <f t="shared" si="11"/>
        <v>0</v>
      </c>
    </row>
    <row r="12" spans="2:47" x14ac:dyDescent="0.35">
      <c r="B12" s="4" t="s">
        <v>41</v>
      </c>
      <c r="C12" s="4" t="s">
        <v>51</v>
      </c>
      <c r="D12" s="9"/>
      <c r="E12" s="7"/>
      <c r="F12" s="7"/>
      <c r="G12" s="9"/>
      <c r="H12" s="7"/>
      <c r="I12" s="7"/>
      <c r="J12" s="9"/>
      <c r="K12" s="9"/>
      <c r="L12" s="7"/>
      <c r="M12" s="7"/>
      <c r="N12" s="8"/>
      <c r="O12" s="8"/>
      <c r="P12" s="8"/>
      <c r="Q12" s="8"/>
      <c r="R12" s="9"/>
      <c r="S12" s="7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61">
        <f t="shared" si="0"/>
        <v>0</v>
      </c>
      <c r="AK12" s="11">
        <f t="shared" si="1"/>
        <v>0</v>
      </c>
      <c r="AL12" s="11">
        <f t="shared" si="2"/>
        <v>0</v>
      </c>
      <c r="AM12" s="11">
        <f t="shared" si="3"/>
        <v>0</v>
      </c>
      <c r="AN12" s="11">
        <f t="shared" si="4"/>
        <v>0</v>
      </c>
      <c r="AO12" s="11">
        <f t="shared" si="5"/>
        <v>0</v>
      </c>
      <c r="AP12" s="11">
        <f t="shared" si="6"/>
        <v>0</v>
      </c>
      <c r="AQ12" s="11">
        <f t="shared" si="7"/>
        <v>0</v>
      </c>
      <c r="AR12" s="11">
        <f t="shared" si="8"/>
        <v>0</v>
      </c>
      <c r="AS12" s="11">
        <f t="shared" si="9"/>
        <v>0</v>
      </c>
      <c r="AT12" s="11">
        <f t="shared" si="10"/>
        <v>0</v>
      </c>
      <c r="AU12" s="11">
        <f t="shared" si="11"/>
        <v>0</v>
      </c>
    </row>
    <row r="13" spans="2:47" x14ac:dyDescent="0.35">
      <c r="B13" s="4" t="s">
        <v>42</v>
      </c>
      <c r="C13" s="4" t="s">
        <v>52</v>
      </c>
      <c r="D13" s="9"/>
      <c r="E13" s="7"/>
      <c r="F13" s="7"/>
      <c r="G13" s="9"/>
      <c r="H13" s="7"/>
      <c r="I13" s="7"/>
      <c r="J13" s="9"/>
      <c r="K13" s="9"/>
      <c r="L13" s="7"/>
      <c r="M13" s="7"/>
      <c r="N13" s="8"/>
      <c r="O13" s="8"/>
      <c r="P13" s="8"/>
      <c r="Q13" s="8"/>
      <c r="R13" s="9"/>
      <c r="S13" s="7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61">
        <f t="shared" si="0"/>
        <v>0</v>
      </c>
      <c r="AK13" s="11">
        <f t="shared" si="1"/>
        <v>0</v>
      </c>
      <c r="AL13" s="11">
        <f t="shared" si="2"/>
        <v>0</v>
      </c>
      <c r="AM13" s="11">
        <f t="shared" si="3"/>
        <v>0</v>
      </c>
      <c r="AN13" s="11">
        <f t="shared" si="4"/>
        <v>0</v>
      </c>
      <c r="AO13" s="11">
        <f t="shared" si="5"/>
        <v>0</v>
      </c>
      <c r="AP13" s="11">
        <f t="shared" si="6"/>
        <v>0</v>
      </c>
      <c r="AQ13" s="11">
        <f t="shared" si="7"/>
        <v>0</v>
      </c>
      <c r="AR13" s="11">
        <f t="shared" si="8"/>
        <v>0</v>
      </c>
      <c r="AS13" s="11">
        <f t="shared" si="9"/>
        <v>0</v>
      </c>
      <c r="AT13" s="11">
        <f t="shared" si="10"/>
        <v>0</v>
      </c>
      <c r="AU13" s="11">
        <f t="shared" si="11"/>
        <v>0</v>
      </c>
    </row>
    <row r="21" spans="2:2" x14ac:dyDescent="0.35">
      <c r="B21">
        <f>1100000*8</f>
        <v>8800000</v>
      </c>
    </row>
  </sheetData>
  <phoneticPr fontId="3" type="noConversion"/>
  <conditionalFormatting sqref="C4:AI13">
    <cfRule type="containsText" dxfId="102" priority="8" operator="containsText" text="SL">
      <formula>NOT(ISERROR(SEARCH("SL",C4)))</formula>
    </cfRule>
  </conditionalFormatting>
  <conditionalFormatting sqref="D3:AI13">
    <cfRule type="containsText" dxfId="101" priority="7" operator="containsText" text="TR">
      <formula>NOT(ISERROR(SEARCH("TR",D3)))</formula>
    </cfRule>
  </conditionalFormatting>
  <conditionalFormatting sqref="D4:AI13">
    <cfRule type="containsText" dxfId="100" priority="1" operator="containsText" text="ML">
      <formula>NOT(ISERROR(SEARCH("ML",D4)))</formula>
    </cfRule>
    <cfRule type="beginsWith" dxfId="99" priority="2" operator="beginsWith" text="AB">
      <formula>LEFT(D4,LEN("AB"))="AB"</formula>
    </cfRule>
    <cfRule type="beginsWith" dxfId="98" priority="3" operator="beginsWith" text="H">
      <formula>LEFT(D4,LEN("H"))="H"</formula>
    </cfRule>
    <cfRule type="containsText" dxfId="97" priority="5" operator="containsText" text="PL">
      <formula>NOT(ISERROR(SEARCH("PL",D4)))</formula>
    </cfRule>
    <cfRule type="containsText" dxfId="96" priority="6" operator="containsText" text="WFH">
      <formula>NOT(ISERROR(SEARCH("WFH",D4)))</formula>
    </cfRule>
  </conditionalFormatting>
  <conditionalFormatting sqref="D4:AU13">
    <cfRule type="containsText" dxfId="95" priority="9" operator="containsText" text="AL">
      <formula>NOT(ISERROR(SEARCH("AL",D4)))</formula>
    </cfRule>
    <cfRule type="containsText" dxfId="94" priority="10" operator="containsText" text="P">
      <formula>NOT(ISERROR(SEARCH("P",D4)))</formula>
    </cfRule>
  </conditionalFormatting>
  <dataValidations count="1">
    <dataValidation type="list" allowBlank="1" showInputMessage="1" showErrorMessage="1" sqref="D4:AI13" xr:uid="{8EF99D61-49EE-4F9E-B960-73C69A1E72C0}">
      <formula1>$AJ$3:$AT$3</formula1>
    </dataValidation>
  </dataValidations>
  <pageMargins left="0.7" right="0.7" top="0.75" bottom="0.75" header="0.3" footer="0.3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F6278-DA0F-4B36-B38D-D6251FA23AC6}">
  <sheetPr codeName="Sheet7"/>
  <dimension ref="B2:AW14"/>
  <sheetViews>
    <sheetView zoomScaleNormal="100" workbookViewId="0">
      <pane xSplit="3" ySplit="3" topLeftCell="D4" activePane="bottomRight" state="frozen"/>
      <selection pane="topRight" activeCell="D1" sqref="D1"/>
      <selection pane="bottomLeft" activeCell="A3" sqref="A3"/>
      <selection pane="bottomRight" activeCell="L14" sqref="L14"/>
    </sheetView>
  </sheetViews>
  <sheetFormatPr defaultRowHeight="14.5" x14ac:dyDescent="0.35"/>
  <cols>
    <col min="1" max="1" width="3.81640625" customWidth="1"/>
    <col min="2" max="2" width="22.1796875" bestFit="1" customWidth="1"/>
    <col min="3" max="3" width="9.81640625" bestFit="1" customWidth="1"/>
    <col min="4" max="4" width="5.81640625" customWidth="1"/>
    <col min="5" max="5" width="6" customWidth="1"/>
    <col min="6" max="6" width="5.81640625" customWidth="1"/>
    <col min="7" max="7" width="6.1796875" customWidth="1"/>
    <col min="8" max="8" width="5.7265625" customWidth="1"/>
    <col min="9" max="9" width="6.1796875" customWidth="1"/>
    <col min="10" max="11" width="5.81640625" customWidth="1"/>
    <col min="12" max="12" width="6" customWidth="1"/>
    <col min="13" max="13" width="5.453125" customWidth="1"/>
    <col min="14" max="14" width="5.7265625" customWidth="1"/>
    <col min="15" max="15" width="5.81640625" customWidth="1"/>
    <col min="16" max="16" width="5.54296875" customWidth="1"/>
    <col min="17" max="20" width="5.26953125" customWidth="1"/>
    <col min="21" max="21" width="5.7265625" customWidth="1"/>
    <col min="22" max="35" width="5.81640625" customWidth="1"/>
    <col min="36" max="36" width="4.81640625" style="62" customWidth="1"/>
    <col min="37" max="44" width="4.81640625" bestFit="1" customWidth="1"/>
    <col min="45" max="45" width="5" bestFit="1" customWidth="1"/>
    <col min="46" max="47" width="4.81640625" bestFit="1" customWidth="1"/>
  </cols>
  <sheetData>
    <row r="2" spans="2:49" ht="57.65" customHeight="1" x14ac:dyDescent="0.35">
      <c r="B2" s="13" t="s">
        <v>0</v>
      </c>
      <c r="C2" s="58">
        <v>46296</v>
      </c>
      <c r="D2" s="2">
        <v>45931</v>
      </c>
      <c r="E2" s="2">
        <v>45932</v>
      </c>
      <c r="F2" s="2">
        <v>45933</v>
      </c>
      <c r="G2" s="2">
        <v>45934</v>
      </c>
      <c r="H2" s="2">
        <v>45935</v>
      </c>
      <c r="I2" s="2">
        <v>45936</v>
      </c>
      <c r="J2" s="2">
        <v>45937</v>
      </c>
      <c r="K2" s="2">
        <v>45938</v>
      </c>
      <c r="L2" s="2">
        <v>45939</v>
      </c>
      <c r="M2" s="2">
        <v>45940</v>
      </c>
      <c r="N2" s="2">
        <v>45941</v>
      </c>
      <c r="O2" s="2">
        <v>45942</v>
      </c>
      <c r="P2" s="2">
        <v>45943</v>
      </c>
      <c r="Q2" s="2">
        <v>45944</v>
      </c>
      <c r="R2" s="2">
        <v>45945</v>
      </c>
      <c r="S2" s="2">
        <v>45946</v>
      </c>
      <c r="T2" s="2">
        <v>45947</v>
      </c>
      <c r="U2" s="2">
        <v>45948</v>
      </c>
      <c r="V2" s="2">
        <v>45949</v>
      </c>
      <c r="W2" s="2">
        <v>45950</v>
      </c>
      <c r="X2" s="2">
        <v>45951</v>
      </c>
      <c r="Y2" s="2">
        <v>45952</v>
      </c>
      <c r="Z2" s="2">
        <v>45953</v>
      </c>
      <c r="AA2" s="2">
        <v>45954</v>
      </c>
      <c r="AB2" s="2">
        <v>45955</v>
      </c>
      <c r="AC2" s="2">
        <v>45956</v>
      </c>
      <c r="AD2" s="2">
        <v>45957</v>
      </c>
      <c r="AE2" s="2">
        <v>45958</v>
      </c>
      <c r="AF2" s="2">
        <v>45959</v>
      </c>
      <c r="AG2" s="2">
        <v>45960</v>
      </c>
      <c r="AH2" s="2">
        <v>45961</v>
      </c>
      <c r="AI2" s="2"/>
      <c r="AJ2" s="12" t="s">
        <v>1</v>
      </c>
      <c r="AK2" s="12" t="s">
        <v>2</v>
      </c>
      <c r="AL2" s="12" t="s">
        <v>3</v>
      </c>
      <c r="AM2" s="12" t="s">
        <v>4</v>
      </c>
      <c r="AN2" s="12" t="s">
        <v>5</v>
      </c>
      <c r="AO2" s="12" t="s">
        <v>6</v>
      </c>
      <c r="AP2" s="12" t="s">
        <v>7</v>
      </c>
      <c r="AQ2" s="12" t="s">
        <v>8</v>
      </c>
      <c r="AR2" s="12" t="s">
        <v>9</v>
      </c>
      <c r="AS2" s="12" t="s">
        <v>10</v>
      </c>
      <c r="AT2" s="12" t="s">
        <v>11</v>
      </c>
      <c r="AU2" s="12" t="s">
        <v>12</v>
      </c>
    </row>
    <row r="3" spans="2:49" ht="32.25" customHeight="1" x14ac:dyDescent="0.35">
      <c r="B3" s="1" t="s">
        <v>13</v>
      </c>
      <c r="C3" s="1" t="s">
        <v>14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15</v>
      </c>
      <c r="J3" s="3" t="s">
        <v>16</v>
      </c>
      <c r="K3" s="3" t="s">
        <v>17</v>
      </c>
      <c r="L3" s="3" t="s">
        <v>18</v>
      </c>
      <c r="M3" s="3" t="s">
        <v>19</v>
      </c>
      <c r="N3" s="3" t="s">
        <v>20</v>
      </c>
      <c r="O3" s="3" t="s">
        <v>21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15</v>
      </c>
      <c r="X3" s="3" t="s">
        <v>16</v>
      </c>
      <c r="Y3" s="3" t="s">
        <v>17</v>
      </c>
      <c r="Z3" s="3" t="s">
        <v>18</v>
      </c>
      <c r="AA3" s="3" t="s">
        <v>19</v>
      </c>
      <c r="AB3" s="3" t="s">
        <v>20</v>
      </c>
      <c r="AC3" s="3" t="s">
        <v>21</v>
      </c>
      <c r="AD3" s="3" t="s">
        <v>15</v>
      </c>
      <c r="AE3" s="3" t="s">
        <v>16</v>
      </c>
      <c r="AF3" s="3" t="s">
        <v>17</v>
      </c>
      <c r="AG3" s="3" t="s">
        <v>18</v>
      </c>
      <c r="AH3" s="3" t="s">
        <v>19</v>
      </c>
      <c r="AI3" s="10"/>
      <c r="AJ3" s="6" t="s">
        <v>22</v>
      </c>
      <c r="AK3" s="6" t="s">
        <v>53</v>
      </c>
      <c r="AL3" s="6" t="s">
        <v>91</v>
      </c>
      <c r="AM3" s="6" t="s">
        <v>25</v>
      </c>
      <c r="AN3" s="6" t="s">
        <v>26</v>
      </c>
      <c r="AO3" s="6" t="s">
        <v>27</v>
      </c>
      <c r="AP3" s="6" t="s">
        <v>28</v>
      </c>
      <c r="AQ3" s="6" t="s">
        <v>29</v>
      </c>
      <c r="AR3" s="6" t="s">
        <v>30</v>
      </c>
      <c r="AS3" s="6" t="s">
        <v>92</v>
      </c>
      <c r="AT3" s="6" t="s">
        <v>32</v>
      </c>
      <c r="AU3" s="6"/>
    </row>
    <row r="4" spans="2:49" x14ac:dyDescent="0.35">
      <c r="B4" s="4" t="s">
        <v>33</v>
      </c>
      <c r="C4" s="5" t="s">
        <v>43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8"/>
      <c r="R4" s="8"/>
      <c r="S4" s="8"/>
      <c r="T4" s="8"/>
      <c r="U4" s="7"/>
      <c r="V4" s="7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61">
        <f t="shared" ref="AJ4:AJ13" si="0">COUNTIF(C4:AI4,"P")</f>
        <v>0</v>
      </c>
      <c r="AK4" s="11">
        <f t="shared" ref="AK4:AK13" si="1">COUNTIF(D4:AI4,"A")</f>
        <v>0</v>
      </c>
      <c r="AL4" s="11">
        <f t="shared" ref="AL4:AL13" si="2">COUNTIF(D4:AI4,"H")</f>
        <v>0</v>
      </c>
      <c r="AM4" s="11">
        <f t="shared" ref="AM4:AM13" si="3">COUNTIF(D4:AI4,"TR")</f>
        <v>0</v>
      </c>
      <c r="AN4" s="11">
        <f t="shared" ref="AN4:AN13" si="4">COUNTIF(D4:AI4,"CL")</f>
        <v>0</v>
      </c>
      <c r="AO4" s="11">
        <f t="shared" ref="AO4:AO13" si="5">COUNTIF(D4:AI4,"SL")</f>
        <v>0</v>
      </c>
      <c r="AP4" s="11">
        <f t="shared" ref="AP4:AP13" si="6">COUNTIF(D4:AI4,"AL")</f>
        <v>0</v>
      </c>
      <c r="AQ4" s="11">
        <f t="shared" ref="AQ4:AQ13" si="7">COUNTIF(D4:AI4,"ML")</f>
        <v>0</v>
      </c>
      <c r="AR4" s="11">
        <f t="shared" ref="AR4:AR13" si="8">COUNTIF(D4:AI4,"PL")</f>
        <v>0</v>
      </c>
      <c r="AS4" s="11">
        <f t="shared" ref="AS4:AS13" si="9">COUNTIF(D4:AI4,"WFH")</f>
        <v>0</v>
      </c>
      <c r="AT4" s="11">
        <f t="shared" ref="AT4:AT13" si="10">COUNTIF(D4:AI4,"NH")</f>
        <v>0</v>
      </c>
      <c r="AU4" s="11">
        <f>SUM(AJ4:AT4)</f>
        <v>0</v>
      </c>
      <c r="AW4" s="64">
        <v>17</v>
      </c>
    </row>
    <row r="5" spans="2:49" x14ac:dyDescent="0.35">
      <c r="B5" s="4" t="s">
        <v>34</v>
      </c>
      <c r="C5" s="4" t="s">
        <v>44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8"/>
      <c r="R5" s="8"/>
      <c r="S5" s="8"/>
      <c r="T5" s="8"/>
      <c r="U5" s="7"/>
      <c r="V5" s="7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61">
        <f t="shared" si="0"/>
        <v>0</v>
      </c>
      <c r="AK5" s="11">
        <f t="shared" si="1"/>
        <v>0</v>
      </c>
      <c r="AL5" s="11">
        <f t="shared" si="2"/>
        <v>0</v>
      </c>
      <c r="AM5" s="11">
        <f t="shared" si="3"/>
        <v>0</v>
      </c>
      <c r="AN5" s="11">
        <f t="shared" si="4"/>
        <v>0</v>
      </c>
      <c r="AO5" s="11">
        <f t="shared" si="5"/>
        <v>0</v>
      </c>
      <c r="AP5" s="11">
        <f t="shared" si="6"/>
        <v>0</v>
      </c>
      <c r="AQ5" s="11">
        <f t="shared" si="7"/>
        <v>0</v>
      </c>
      <c r="AR5" s="11">
        <f t="shared" si="8"/>
        <v>0</v>
      </c>
      <c r="AS5" s="11">
        <f t="shared" si="9"/>
        <v>0</v>
      </c>
      <c r="AT5" s="11">
        <f t="shared" si="10"/>
        <v>0</v>
      </c>
      <c r="AU5" s="11">
        <f t="shared" ref="AU5:AU13" si="11">SUM(AJ5:AT5)</f>
        <v>0</v>
      </c>
      <c r="AW5" s="64">
        <v>20</v>
      </c>
    </row>
    <row r="6" spans="2:49" x14ac:dyDescent="0.35">
      <c r="B6" s="4" t="s">
        <v>35</v>
      </c>
      <c r="C6" s="4" t="s">
        <v>45</v>
      </c>
      <c r="D6" s="7"/>
      <c r="E6" s="7"/>
      <c r="F6" s="9"/>
      <c r="G6" s="9"/>
      <c r="H6" s="7"/>
      <c r="I6" s="7"/>
      <c r="J6" s="9"/>
      <c r="K6" s="7"/>
      <c r="L6" s="7"/>
      <c r="M6" s="9"/>
      <c r="N6" s="9"/>
      <c r="O6" s="7"/>
      <c r="P6" s="7"/>
      <c r="Q6" s="8"/>
      <c r="R6" s="8"/>
      <c r="S6" s="8"/>
      <c r="T6" s="8"/>
      <c r="U6" s="9"/>
      <c r="V6" s="7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61">
        <f t="shared" si="0"/>
        <v>0</v>
      </c>
      <c r="AK6" s="11">
        <f t="shared" si="1"/>
        <v>0</v>
      </c>
      <c r="AL6" s="11">
        <f t="shared" si="2"/>
        <v>0</v>
      </c>
      <c r="AM6" s="11">
        <f t="shared" si="3"/>
        <v>0</v>
      </c>
      <c r="AN6" s="11">
        <f t="shared" si="4"/>
        <v>0</v>
      </c>
      <c r="AO6" s="11">
        <f t="shared" si="5"/>
        <v>0</v>
      </c>
      <c r="AP6" s="11">
        <f t="shared" si="6"/>
        <v>0</v>
      </c>
      <c r="AQ6" s="11">
        <f t="shared" si="7"/>
        <v>0</v>
      </c>
      <c r="AR6" s="11">
        <f t="shared" si="8"/>
        <v>0</v>
      </c>
      <c r="AS6" s="11">
        <f t="shared" si="9"/>
        <v>0</v>
      </c>
      <c r="AT6" s="11">
        <f t="shared" si="10"/>
        <v>0</v>
      </c>
      <c r="AU6" s="11">
        <f t="shared" si="11"/>
        <v>0</v>
      </c>
      <c r="AW6" s="9">
        <v>22</v>
      </c>
    </row>
    <row r="7" spans="2:49" x14ac:dyDescent="0.35">
      <c r="B7" s="4" t="s">
        <v>36</v>
      </c>
      <c r="C7" s="4" t="s">
        <v>46</v>
      </c>
      <c r="D7" s="7"/>
      <c r="E7" s="7"/>
      <c r="F7" s="9"/>
      <c r="G7" s="9"/>
      <c r="H7" s="7"/>
      <c r="I7" s="7"/>
      <c r="J7" s="9"/>
      <c r="K7" s="7"/>
      <c r="L7" s="7"/>
      <c r="M7" s="9"/>
      <c r="N7" s="9"/>
      <c r="O7" s="7"/>
      <c r="P7" s="7"/>
      <c r="Q7" s="8"/>
      <c r="R7" s="8"/>
      <c r="S7" s="8"/>
      <c r="T7" s="8"/>
      <c r="U7" s="9"/>
      <c r="V7" s="7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61">
        <f t="shared" si="0"/>
        <v>0</v>
      </c>
      <c r="AK7" s="11">
        <f t="shared" si="1"/>
        <v>0</v>
      </c>
      <c r="AL7" s="11">
        <f t="shared" si="2"/>
        <v>0</v>
      </c>
      <c r="AM7" s="11">
        <f t="shared" si="3"/>
        <v>0</v>
      </c>
      <c r="AN7" s="11">
        <f t="shared" si="4"/>
        <v>0</v>
      </c>
      <c r="AO7" s="11">
        <f t="shared" si="5"/>
        <v>0</v>
      </c>
      <c r="AP7" s="11">
        <f t="shared" si="6"/>
        <v>0</v>
      </c>
      <c r="AQ7" s="11">
        <f t="shared" si="7"/>
        <v>0</v>
      </c>
      <c r="AR7" s="11">
        <f t="shared" si="8"/>
        <v>0</v>
      </c>
      <c r="AS7" s="11">
        <f t="shared" si="9"/>
        <v>0</v>
      </c>
      <c r="AT7" s="11">
        <f t="shared" si="10"/>
        <v>0</v>
      </c>
      <c r="AU7" s="11">
        <f t="shared" si="11"/>
        <v>0</v>
      </c>
      <c r="AW7" s="9">
        <v>18</v>
      </c>
    </row>
    <row r="8" spans="2:49" x14ac:dyDescent="0.35">
      <c r="B8" s="4" t="s">
        <v>37</v>
      </c>
      <c r="C8" s="4" t="s">
        <v>47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8"/>
      <c r="U8" s="9"/>
      <c r="V8" s="7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61">
        <f t="shared" si="0"/>
        <v>0</v>
      </c>
      <c r="AK8" s="11">
        <f t="shared" si="1"/>
        <v>0</v>
      </c>
      <c r="AL8" s="11">
        <f t="shared" si="2"/>
        <v>0</v>
      </c>
      <c r="AM8" s="11">
        <f t="shared" si="3"/>
        <v>0</v>
      </c>
      <c r="AN8" s="11">
        <f t="shared" si="4"/>
        <v>0</v>
      </c>
      <c r="AO8" s="11">
        <f t="shared" si="5"/>
        <v>0</v>
      </c>
      <c r="AP8" s="11">
        <f t="shared" si="6"/>
        <v>0</v>
      </c>
      <c r="AQ8" s="11">
        <f t="shared" si="7"/>
        <v>0</v>
      </c>
      <c r="AR8" s="11">
        <f t="shared" si="8"/>
        <v>0</v>
      </c>
      <c r="AS8" s="11">
        <f t="shared" si="9"/>
        <v>0</v>
      </c>
      <c r="AT8" s="11">
        <f t="shared" si="10"/>
        <v>0</v>
      </c>
      <c r="AU8" s="11">
        <f t="shared" si="11"/>
        <v>0</v>
      </c>
      <c r="AW8" s="9">
        <v>22</v>
      </c>
    </row>
    <row r="9" spans="2:49" x14ac:dyDescent="0.35">
      <c r="B9" s="4" t="s">
        <v>38</v>
      </c>
      <c r="C9" s="4" t="s">
        <v>48</v>
      </c>
      <c r="D9" s="7"/>
      <c r="E9" s="7"/>
      <c r="F9" s="9"/>
      <c r="G9" s="9"/>
      <c r="H9" s="7"/>
      <c r="I9" s="7"/>
      <c r="J9" s="9"/>
      <c r="K9" s="7"/>
      <c r="L9" s="7"/>
      <c r="M9" s="9"/>
      <c r="N9" s="9"/>
      <c r="O9" s="7"/>
      <c r="P9" s="7"/>
      <c r="Q9" s="8"/>
      <c r="R9" s="8"/>
      <c r="S9" s="8"/>
      <c r="T9" s="8"/>
      <c r="U9" s="9"/>
      <c r="V9" s="7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61">
        <f t="shared" si="0"/>
        <v>0</v>
      </c>
      <c r="AK9" s="11">
        <f t="shared" si="1"/>
        <v>0</v>
      </c>
      <c r="AL9" s="11">
        <f t="shared" si="2"/>
        <v>0</v>
      </c>
      <c r="AM9" s="11">
        <f t="shared" si="3"/>
        <v>0</v>
      </c>
      <c r="AN9" s="11">
        <f t="shared" si="4"/>
        <v>0</v>
      </c>
      <c r="AO9" s="11">
        <f t="shared" si="5"/>
        <v>0</v>
      </c>
      <c r="AP9" s="11">
        <f t="shared" si="6"/>
        <v>0</v>
      </c>
      <c r="AQ9" s="11">
        <f t="shared" si="7"/>
        <v>0</v>
      </c>
      <c r="AR9" s="11">
        <f t="shared" si="8"/>
        <v>0</v>
      </c>
      <c r="AS9" s="11">
        <f t="shared" si="9"/>
        <v>0</v>
      </c>
      <c r="AT9" s="11">
        <f t="shared" si="10"/>
        <v>0</v>
      </c>
      <c r="AU9" s="11">
        <f t="shared" si="11"/>
        <v>0</v>
      </c>
      <c r="AW9" s="9">
        <v>22</v>
      </c>
    </row>
    <row r="10" spans="2:49" x14ac:dyDescent="0.35">
      <c r="B10" s="4" t="s">
        <v>39</v>
      </c>
      <c r="C10" s="4" t="s">
        <v>49</v>
      </c>
      <c r="D10" s="7"/>
      <c r="E10" s="7"/>
      <c r="F10" s="9"/>
      <c r="G10" s="9"/>
      <c r="H10" s="7"/>
      <c r="I10" s="7"/>
      <c r="J10" s="9"/>
      <c r="K10" s="7"/>
      <c r="L10" s="7"/>
      <c r="M10" s="9"/>
      <c r="N10" s="9"/>
      <c r="O10" s="7"/>
      <c r="P10" s="7"/>
      <c r="Q10" s="8"/>
      <c r="R10" s="8"/>
      <c r="S10" s="8"/>
      <c r="T10" s="8"/>
      <c r="U10" s="9"/>
      <c r="V10" s="7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61">
        <f t="shared" si="0"/>
        <v>0</v>
      </c>
      <c r="AK10" s="11">
        <f t="shared" si="1"/>
        <v>0</v>
      </c>
      <c r="AL10" s="11">
        <f t="shared" si="2"/>
        <v>0</v>
      </c>
      <c r="AM10" s="11">
        <f t="shared" si="3"/>
        <v>0</v>
      </c>
      <c r="AN10" s="11">
        <f t="shared" si="4"/>
        <v>0</v>
      </c>
      <c r="AO10" s="11">
        <f t="shared" si="5"/>
        <v>0</v>
      </c>
      <c r="AP10" s="11">
        <f t="shared" si="6"/>
        <v>0</v>
      </c>
      <c r="AQ10" s="11">
        <f t="shared" si="7"/>
        <v>0</v>
      </c>
      <c r="AR10" s="11">
        <f t="shared" si="8"/>
        <v>0</v>
      </c>
      <c r="AS10" s="11">
        <f t="shared" si="9"/>
        <v>0</v>
      </c>
      <c r="AT10" s="11">
        <f t="shared" si="10"/>
        <v>0</v>
      </c>
      <c r="AU10" s="11">
        <f t="shared" si="11"/>
        <v>0</v>
      </c>
      <c r="AW10" s="9">
        <v>22</v>
      </c>
    </row>
    <row r="11" spans="2:49" x14ac:dyDescent="0.35">
      <c r="B11" s="4" t="s">
        <v>40</v>
      </c>
      <c r="C11" s="4" t="s">
        <v>50</v>
      </c>
      <c r="D11" s="7"/>
      <c r="E11" s="7"/>
      <c r="F11" s="9"/>
      <c r="G11" s="9"/>
      <c r="H11" s="7"/>
      <c r="I11" s="7"/>
      <c r="J11" s="9"/>
      <c r="K11" s="7"/>
      <c r="L11" s="7"/>
      <c r="M11" s="9"/>
      <c r="N11" s="9"/>
      <c r="O11" s="7"/>
      <c r="P11" s="7"/>
      <c r="Q11" s="8"/>
      <c r="R11" s="8"/>
      <c r="S11" s="8"/>
      <c r="T11" s="8"/>
      <c r="U11" s="9"/>
      <c r="V11" s="7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61">
        <f t="shared" si="0"/>
        <v>0</v>
      </c>
      <c r="AK11" s="11">
        <f t="shared" si="1"/>
        <v>0</v>
      </c>
      <c r="AL11" s="11">
        <f t="shared" si="2"/>
        <v>0</v>
      </c>
      <c r="AM11" s="11">
        <f t="shared" si="3"/>
        <v>0</v>
      </c>
      <c r="AN11" s="11">
        <f t="shared" si="4"/>
        <v>0</v>
      </c>
      <c r="AO11" s="11">
        <f t="shared" si="5"/>
        <v>0</v>
      </c>
      <c r="AP11" s="11">
        <f t="shared" si="6"/>
        <v>0</v>
      </c>
      <c r="AQ11" s="11">
        <f t="shared" si="7"/>
        <v>0</v>
      </c>
      <c r="AR11" s="11">
        <f t="shared" si="8"/>
        <v>0</v>
      </c>
      <c r="AS11" s="11">
        <f t="shared" si="9"/>
        <v>0</v>
      </c>
      <c r="AT11" s="11">
        <f t="shared" si="10"/>
        <v>0</v>
      </c>
      <c r="AU11" s="11">
        <f t="shared" si="11"/>
        <v>0</v>
      </c>
      <c r="AW11" s="9">
        <v>22</v>
      </c>
    </row>
    <row r="12" spans="2:49" x14ac:dyDescent="0.35">
      <c r="B12" s="4" t="s">
        <v>41</v>
      </c>
      <c r="C12" s="4" t="s">
        <v>51</v>
      </c>
      <c r="D12" s="7"/>
      <c r="E12" s="7"/>
      <c r="F12" s="9"/>
      <c r="G12" s="9"/>
      <c r="H12" s="7"/>
      <c r="I12" s="7"/>
      <c r="J12" s="9"/>
      <c r="K12" s="7"/>
      <c r="L12" s="7"/>
      <c r="M12" s="9"/>
      <c r="N12" s="9"/>
      <c r="O12" s="7"/>
      <c r="P12" s="7"/>
      <c r="Q12" s="8"/>
      <c r="R12" s="8"/>
      <c r="S12" s="8"/>
      <c r="T12" s="8"/>
      <c r="U12" s="9"/>
      <c r="V12" s="7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61">
        <f t="shared" si="0"/>
        <v>0</v>
      </c>
      <c r="AK12" s="11">
        <f t="shared" si="1"/>
        <v>0</v>
      </c>
      <c r="AL12" s="11">
        <f t="shared" si="2"/>
        <v>0</v>
      </c>
      <c r="AM12" s="11">
        <f t="shared" si="3"/>
        <v>0</v>
      </c>
      <c r="AN12" s="11">
        <f t="shared" si="4"/>
        <v>0</v>
      </c>
      <c r="AO12" s="11">
        <f t="shared" si="5"/>
        <v>0</v>
      </c>
      <c r="AP12" s="11">
        <f t="shared" si="6"/>
        <v>0</v>
      </c>
      <c r="AQ12" s="11">
        <f t="shared" si="7"/>
        <v>0</v>
      </c>
      <c r="AR12" s="11">
        <f t="shared" si="8"/>
        <v>0</v>
      </c>
      <c r="AS12" s="11">
        <f t="shared" si="9"/>
        <v>0</v>
      </c>
      <c r="AT12" s="11">
        <f t="shared" si="10"/>
        <v>0</v>
      </c>
      <c r="AU12" s="11">
        <f t="shared" si="11"/>
        <v>0</v>
      </c>
      <c r="AW12" s="9">
        <v>22</v>
      </c>
    </row>
    <row r="13" spans="2:49" x14ac:dyDescent="0.35">
      <c r="B13" s="4" t="s">
        <v>42</v>
      </c>
      <c r="C13" s="4" t="s">
        <v>52</v>
      </c>
      <c r="D13" s="7"/>
      <c r="E13" s="7"/>
      <c r="F13" s="9"/>
      <c r="G13" s="9"/>
      <c r="H13" s="7"/>
      <c r="I13" s="7"/>
      <c r="J13" s="9"/>
      <c r="K13" s="7"/>
      <c r="L13" s="7"/>
      <c r="M13" s="9"/>
      <c r="N13" s="9"/>
      <c r="O13" s="7"/>
      <c r="P13" s="7"/>
      <c r="Q13" s="8"/>
      <c r="R13" s="8"/>
      <c r="S13" s="8"/>
      <c r="T13" s="8"/>
      <c r="U13" s="9"/>
      <c r="V13" s="7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61">
        <f t="shared" si="0"/>
        <v>0</v>
      </c>
      <c r="AK13" s="11">
        <f t="shared" si="1"/>
        <v>0</v>
      </c>
      <c r="AL13" s="11">
        <f t="shared" si="2"/>
        <v>0</v>
      </c>
      <c r="AM13" s="11">
        <f t="shared" si="3"/>
        <v>0</v>
      </c>
      <c r="AN13" s="11">
        <f t="shared" si="4"/>
        <v>0</v>
      </c>
      <c r="AO13" s="11">
        <f t="shared" si="5"/>
        <v>0</v>
      </c>
      <c r="AP13" s="11">
        <f t="shared" si="6"/>
        <v>0</v>
      </c>
      <c r="AQ13" s="11">
        <f t="shared" si="7"/>
        <v>0</v>
      </c>
      <c r="AR13" s="11">
        <f t="shared" si="8"/>
        <v>0</v>
      </c>
      <c r="AS13" s="11">
        <f t="shared" si="9"/>
        <v>0</v>
      </c>
      <c r="AT13" s="11">
        <f t="shared" si="10"/>
        <v>0</v>
      </c>
      <c r="AU13" s="11">
        <f t="shared" si="11"/>
        <v>0</v>
      </c>
      <c r="AW13" s="9">
        <v>21</v>
      </c>
    </row>
    <row r="14" spans="2:49" x14ac:dyDescent="0.35">
      <c r="K14" s="63"/>
    </row>
  </sheetData>
  <phoneticPr fontId="3" type="noConversion"/>
  <conditionalFormatting sqref="C4:AI13 K14">
    <cfRule type="containsText" dxfId="93" priority="8" operator="containsText" text="SL">
      <formula>NOT(ISERROR(SEARCH("SL",C4)))</formula>
    </cfRule>
  </conditionalFormatting>
  <conditionalFormatting sqref="D4:D5">
    <cfRule type="beginsWith" dxfId="92" priority="4" operator="beginsWith" text="H">
      <formula>LEFT(D4,LEN("H"))="H"</formula>
    </cfRule>
  </conditionalFormatting>
  <conditionalFormatting sqref="D3:AI13 K14">
    <cfRule type="containsText" dxfId="91" priority="7" operator="containsText" text="TR">
      <formula>NOT(ISERROR(SEARCH("TR",D3)))</formula>
    </cfRule>
  </conditionalFormatting>
  <conditionalFormatting sqref="D4:AI13 K14">
    <cfRule type="containsText" dxfId="90" priority="1" operator="containsText" text="ML">
      <formula>NOT(ISERROR(SEARCH("ML",D4)))</formula>
    </cfRule>
    <cfRule type="beginsWith" dxfId="89" priority="2" operator="beginsWith" text="AB">
      <formula>LEFT(D4,LEN("AB"))="AB"</formula>
    </cfRule>
    <cfRule type="beginsWith" dxfId="88" priority="3" operator="beginsWith" text="H">
      <formula>LEFT(D4,LEN("H"))="H"</formula>
    </cfRule>
    <cfRule type="containsText" dxfId="87" priority="5" operator="containsText" text="PL">
      <formula>NOT(ISERROR(SEARCH("PL",D4)))</formula>
    </cfRule>
    <cfRule type="containsText" dxfId="86" priority="6" operator="containsText" text="WFH">
      <formula>NOT(ISERROR(SEARCH("WFH",D4)))</formula>
    </cfRule>
  </conditionalFormatting>
  <conditionalFormatting sqref="D4:AU13 K14">
    <cfRule type="containsText" dxfId="85" priority="9" operator="containsText" text="AL">
      <formula>NOT(ISERROR(SEARCH("AL",D4)))</formula>
    </cfRule>
    <cfRule type="containsText" dxfId="84" priority="10" operator="containsText" text="P">
      <formula>NOT(ISERROR(SEARCH("P",D4)))</formula>
    </cfRule>
  </conditionalFormatting>
  <dataValidations count="1">
    <dataValidation type="list" allowBlank="1" showInputMessage="1" showErrorMessage="1" sqref="D4:AI13" xr:uid="{B8573C39-B6F4-43D1-A8DA-2B07397E6FCA}">
      <formula1>$AJ$3:$AT$3</formula1>
    </dataValidation>
  </dataValidations>
  <pageMargins left="0.7" right="0.7" top="0.75" bottom="0.75" header="0.3" footer="0.3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52AEF-4A78-423C-9ACF-419A702E409E}">
  <sheetPr codeName="Sheet8"/>
  <dimension ref="B2:AU13"/>
  <sheetViews>
    <sheetView zoomScaleNormal="100" workbookViewId="0">
      <pane xSplit="3" ySplit="3" topLeftCell="D4" activePane="bottomRight" state="frozen"/>
      <selection pane="topRight" activeCell="D1" sqref="D1"/>
      <selection pane="bottomLeft" activeCell="A3" sqref="A3"/>
      <selection pane="bottomRight" activeCell="AG10" sqref="AG10"/>
    </sheetView>
  </sheetViews>
  <sheetFormatPr defaultRowHeight="14.5" x14ac:dyDescent="0.35"/>
  <cols>
    <col min="1" max="1" width="3.81640625" customWidth="1"/>
    <col min="2" max="2" width="22.1796875" bestFit="1" customWidth="1"/>
    <col min="3" max="3" width="9.81640625" bestFit="1" customWidth="1"/>
    <col min="4" max="4" width="6" customWidth="1"/>
    <col min="5" max="5" width="6.1796875" customWidth="1"/>
    <col min="6" max="6" width="5.81640625" customWidth="1"/>
    <col min="7" max="7" width="6" customWidth="1"/>
    <col min="8" max="8" width="5.81640625" customWidth="1"/>
    <col min="9" max="9" width="6.1796875" customWidth="1"/>
    <col min="10" max="10" width="5.7265625" customWidth="1"/>
    <col min="11" max="11" width="6.1796875" customWidth="1"/>
    <col min="12" max="13" width="5.81640625" customWidth="1"/>
    <col min="14" max="14" width="6" customWidth="1"/>
    <col min="15" max="15" width="5.453125" customWidth="1"/>
    <col min="16" max="16" width="5.7265625" customWidth="1"/>
    <col min="17" max="17" width="5.81640625" customWidth="1"/>
    <col min="18" max="18" width="5.54296875" customWidth="1"/>
    <col min="19" max="22" width="5.26953125" customWidth="1"/>
    <col min="23" max="23" width="5.7265625" customWidth="1"/>
    <col min="24" max="34" width="5.81640625" customWidth="1"/>
    <col min="35" max="35" width="5.26953125" customWidth="1"/>
    <col min="36" max="36" width="4.81640625" style="62" customWidth="1"/>
    <col min="37" max="44" width="4.81640625" bestFit="1" customWidth="1"/>
    <col min="45" max="45" width="5" bestFit="1" customWidth="1"/>
    <col min="46" max="47" width="4.81640625" bestFit="1" customWidth="1"/>
  </cols>
  <sheetData>
    <row r="2" spans="2:47" ht="57.65" customHeight="1" x14ac:dyDescent="0.35">
      <c r="B2" s="13" t="s">
        <v>0</v>
      </c>
      <c r="C2" s="58">
        <v>46266</v>
      </c>
      <c r="D2" s="2">
        <v>45901</v>
      </c>
      <c r="E2" s="2">
        <v>45902</v>
      </c>
      <c r="F2" s="2">
        <v>45903</v>
      </c>
      <c r="G2" s="2">
        <v>45904</v>
      </c>
      <c r="H2" s="2">
        <v>45905</v>
      </c>
      <c r="I2" s="2">
        <v>45906</v>
      </c>
      <c r="J2" s="2">
        <v>45907</v>
      </c>
      <c r="K2" s="2">
        <v>45908</v>
      </c>
      <c r="L2" s="2">
        <v>45909</v>
      </c>
      <c r="M2" s="2">
        <v>45910</v>
      </c>
      <c r="N2" s="2">
        <v>45911</v>
      </c>
      <c r="O2" s="2">
        <v>45912</v>
      </c>
      <c r="P2" s="2">
        <v>45913</v>
      </c>
      <c r="Q2" s="2">
        <v>45914</v>
      </c>
      <c r="R2" s="2">
        <v>45915</v>
      </c>
      <c r="S2" s="2">
        <v>45916</v>
      </c>
      <c r="T2" s="2">
        <v>45917</v>
      </c>
      <c r="U2" s="2">
        <v>45918</v>
      </c>
      <c r="V2" s="2">
        <v>45919</v>
      </c>
      <c r="W2" s="2">
        <v>45920</v>
      </c>
      <c r="X2" s="2">
        <v>45921</v>
      </c>
      <c r="Y2" s="2">
        <v>45922</v>
      </c>
      <c r="Z2" s="2">
        <v>45923</v>
      </c>
      <c r="AA2" s="2">
        <v>45924</v>
      </c>
      <c r="AB2" s="2">
        <v>45925</v>
      </c>
      <c r="AC2" s="2">
        <v>45926</v>
      </c>
      <c r="AD2" s="2">
        <v>45927</v>
      </c>
      <c r="AE2" s="2">
        <v>45928</v>
      </c>
      <c r="AF2" s="2">
        <v>45929</v>
      </c>
      <c r="AG2" s="2">
        <v>45930</v>
      </c>
      <c r="AH2" s="2"/>
      <c r="AI2" s="2"/>
      <c r="AJ2" s="12" t="s">
        <v>1</v>
      </c>
      <c r="AK2" s="12" t="s">
        <v>2</v>
      </c>
      <c r="AL2" s="12" t="s">
        <v>3</v>
      </c>
      <c r="AM2" s="12" t="s">
        <v>4</v>
      </c>
      <c r="AN2" s="12" t="s">
        <v>5</v>
      </c>
      <c r="AO2" s="12" t="s">
        <v>6</v>
      </c>
      <c r="AP2" s="12" t="s">
        <v>7</v>
      </c>
      <c r="AQ2" s="12" t="s">
        <v>8</v>
      </c>
      <c r="AR2" s="12" t="s">
        <v>9</v>
      </c>
      <c r="AS2" s="12" t="s">
        <v>10</v>
      </c>
      <c r="AT2" s="12" t="s">
        <v>11</v>
      </c>
      <c r="AU2" s="12" t="s">
        <v>12</v>
      </c>
    </row>
    <row r="3" spans="2:47" ht="32.25" customHeight="1" x14ac:dyDescent="0.35">
      <c r="B3" s="1" t="s">
        <v>13</v>
      </c>
      <c r="C3" s="1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15</v>
      </c>
      <c r="L3" s="3" t="s">
        <v>16</v>
      </c>
      <c r="M3" s="3" t="s">
        <v>17</v>
      </c>
      <c r="N3" s="3" t="s">
        <v>18</v>
      </c>
      <c r="O3" s="3" t="s">
        <v>19</v>
      </c>
      <c r="P3" s="3" t="s">
        <v>20</v>
      </c>
      <c r="Q3" s="3" t="s">
        <v>21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15</v>
      </c>
      <c r="Z3" s="3" t="s">
        <v>16</v>
      </c>
      <c r="AA3" s="3" t="s">
        <v>17</v>
      </c>
      <c r="AB3" s="3" t="s">
        <v>18</v>
      </c>
      <c r="AC3" s="3" t="s">
        <v>19</v>
      </c>
      <c r="AD3" s="3" t="s">
        <v>20</v>
      </c>
      <c r="AE3" s="3" t="s">
        <v>21</v>
      </c>
      <c r="AF3" s="3" t="s">
        <v>15</v>
      </c>
      <c r="AG3" s="3" t="s">
        <v>16</v>
      </c>
      <c r="AH3" s="10"/>
      <c r="AI3" s="10"/>
      <c r="AJ3" s="6" t="s">
        <v>22</v>
      </c>
      <c r="AK3" s="6" t="s">
        <v>53</v>
      </c>
      <c r="AL3" s="6" t="s">
        <v>91</v>
      </c>
      <c r="AM3" s="6" t="s">
        <v>25</v>
      </c>
      <c r="AN3" s="6" t="s">
        <v>26</v>
      </c>
      <c r="AO3" s="6" t="s">
        <v>27</v>
      </c>
      <c r="AP3" s="6" t="s">
        <v>28</v>
      </c>
      <c r="AQ3" s="6" t="s">
        <v>29</v>
      </c>
      <c r="AR3" s="6" t="s">
        <v>30</v>
      </c>
      <c r="AS3" s="6" t="s">
        <v>92</v>
      </c>
      <c r="AT3" s="6" t="s">
        <v>32</v>
      </c>
      <c r="AU3" s="6"/>
    </row>
    <row r="4" spans="2:47" x14ac:dyDescent="0.35">
      <c r="B4" s="4" t="s">
        <v>33</v>
      </c>
      <c r="C4" s="5" t="s">
        <v>43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8"/>
      <c r="T4" s="8"/>
      <c r="U4" s="8"/>
      <c r="V4" s="8"/>
      <c r="W4" s="7"/>
      <c r="X4" s="7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61">
        <f t="shared" ref="AJ4:AJ13" si="0">COUNTIF(C4:AI4,"P")</f>
        <v>0</v>
      </c>
      <c r="AK4" s="11">
        <f t="shared" ref="AK4:AK13" si="1">COUNTIF(D4:AI4,"A")</f>
        <v>0</v>
      </c>
      <c r="AL4" s="11">
        <f t="shared" ref="AL4:AL13" si="2">COUNTIF(D4:AI4,"H")</f>
        <v>0</v>
      </c>
      <c r="AM4" s="11">
        <f t="shared" ref="AM4:AM13" si="3">COUNTIF(D4:AI4,"TR")</f>
        <v>0</v>
      </c>
      <c r="AN4" s="11">
        <f t="shared" ref="AN4:AN13" si="4">COUNTIF(D4:AI4,"CL")</f>
        <v>0</v>
      </c>
      <c r="AO4" s="11">
        <f t="shared" ref="AO4:AO13" si="5">COUNTIF(D4:AI4,"SL")</f>
        <v>0</v>
      </c>
      <c r="AP4" s="11">
        <f t="shared" ref="AP4:AP13" si="6">COUNTIF(D4:AI4,"AL")</f>
        <v>0</v>
      </c>
      <c r="AQ4" s="11">
        <f t="shared" ref="AQ4:AQ13" si="7">COUNTIF(D4:AI4,"ML")</f>
        <v>0</v>
      </c>
      <c r="AR4" s="11">
        <f t="shared" ref="AR4:AR13" si="8">COUNTIF(D4:AI4,"PL")</f>
        <v>0</v>
      </c>
      <c r="AS4" s="11">
        <f t="shared" ref="AS4:AS13" si="9">COUNTIF(D4:AI4,"WFH")</f>
        <v>0</v>
      </c>
      <c r="AT4" s="11">
        <f t="shared" ref="AT4:AT13" si="10">COUNTIF(D4:AI4,"NH")</f>
        <v>0</v>
      </c>
      <c r="AU4" s="11">
        <f>SUM(AJ4:AT4)</f>
        <v>0</v>
      </c>
    </row>
    <row r="5" spans="2:47" x14ac:dyDescent="0.35">
      <c r="B5" s="4" t="s">
        <v>34</v>
      </c>
      <c r="C5" s="4" t="s">
        <v>44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8"/>
      <c r="U5" s="8"/>
      <c r="V5" s="8"/>
      <c r="W5" s="7"/>
      <c r="X5" s="7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61">
        <f t="shared" si="0"/>
        <v>0</v>
      </c>
      <c r="AK5" s="11">
        <f t="shared" si="1"/>
        <v>0</v>
      </c>
      <c r="AL5" s="11">
        <f t="shared" si="2"/>
        <v>0</v>
      </c>
      <c r="AM5" s="11">
        <f t="shared" si="3"/>
        <v>0</v>
      </c>
      <c r="AN5" s="11">
        <f t="shared" si="4"/>
        <v>0</v>
      </c>
      <c r="AO5" s="11">
        <f t="shared" si="5"/>
        <v>0</v>
      </c>
      <c r="AP5" s="11">
        <f t="shared" si="6"/>
        <v>0</v>
      </c>
      <c r="AQ5" s="11">
        <f t="shared" si="7"/>
        <v>0</v>
      </c>
      <c r="AR5" s="11">
        <f t="shared" si="8"/>
        <v>0</v>
      </c>
      <c r="AS5" s="11">
        <f t="shared" si="9"/>
        <v>0</v>
      </c>
      <c r="AT5" s="11">
        <f t="shared" si="10"/>
        <v>0</v>
      </c>
      <c r="AU5" s="11">
        <f t="shared" ref="AU5:AU13" si="11">SUM(AJ5:AT5)</f>
        <v>0</v>
      </c>
    </row>
    <row r="6" spans="2:47" x14ac:dyDescent="0.35">
      <c r="B6" s="4" t="s">
        <v>35</v>
      </c>
      <c r="C6" s="4" t="s">
        <v>45</v>
      </c>
      <c r="D6" s="9"/>
      <c r="E6" s="7"/>
      <c r="F6" s="7"/>
      <c r="G6" s="7"/>
      <c r="H6" s="9"/>
      <c r="I6" s="9"/>
      <c r="J6" s="7"/>
      <c r="K6" s="7"/>
      <c r="L6" s="9"/>
      <c r="M6" s="7"/>
      <c r="N6" s="7"/>
      <c r="O6" s="9"/>
      <c r="P6" s="9"/>
      <c r="Q6" s="7"/>
      <c r="R6" s="7"/>
      <c r="S6" s="8"/>
      <c r="T6" s="8"/>
      <c r="U6" s="8"/>
      <c r="V6" s="8"/>
      <c r="W6" s="9"/>
      <c r="X6" s="7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61">
        <f t="shared" si="0"/>
        <v>0</v>
      </c>
      <c r="AK6" s="11">
        <f t="shared" si="1"/>
        <v>0</v>
      </c>
      <c r="AL6" s="11">
        <f t="shared" si="2"/>
        <v>0</v>
      </c>
      <c r="AM6" s="11">
        <f t="shared" si="3"/>
        <v>0</v>
      </c>
      <c r="AN6" s="11">
        <f t="shared" si="4"/>
        <v>0</v>
      </c>
      <c r="AO6" s="11">
        <f t="shared" si="5"/>
        <v>0</v>
      </c>
      <c r="AP6" s="11">
        <f t="shared" si="6"/>
        <v>0</v>
      </c>
      <c r="AQ6" s="11">
        <f t="shared" si="7"/>
        <v>0</v>
      </c>
      <c r="AR6" s="11">
        <f t="shared" si="8"/>
        <v>0</v>
      </c>
      <c r="AS6" s="11">
        <f t="shared" si="9"/>
        <v>0</v>
      </c>
      <c r="AT6" s="11">
        <f t="shared" si="10"/>
        <v>0</v>
      </c>
      <c r="AU6" s="11">
        <f t="shared" si="11"/>
        <v>0</v>
      </c>
    </row>
    <row r="7" spans="2:47" x14ac:dyDescent="0.35">
      <c r="B7" s="4" t="s">
        <v>36</v>
      </c>
      <c r="C7" s="4" t="s">
        <v>46</v>
      </c>
      <c r="D7" s="9"/>
      <c r="E7" s="7"/>
      <c r="F7" s="7"/>
      <c r="G7" s="7"/>
      <c r="H7" s="9"/>
      <c r="I7" s="9"/>
      <c r="J7" s="7"/>
      <c r="K7" s="7"/>
      <c r="L7" s="9"/>
      <c r="M7" s="7"/>
      <c r="N7" s="7"/>
      <c r="O7" s="9"/>
      <c r="P7" s="9"/>
      <c r="Q7" s="7"/>
      <c r="R7" s="7"/>
      <c r="S7" s="8"/>
      <c r="T7" s="8"/>
      <c r="U7" s="8"/>
      <c r="V7" s="8"/>
      <c r="W7" s="9"/>
      <c r="X7" s="7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61">
        <f t="shared" si="0"/>
        <v>0</v>
      </c>
      <c r="AK7" s="11">
        <f t="shared" si="1"/>
        <v>0</v>
      </c>
      <c r="AL7" s="11">
        <f t="shared" si="2"/>
        <v>0</v>
      </c>
      <c r="AM7" s="11">
        <f t="shared" si="3"/>
        <v>0</v>
      </c>
      <c r="AN7" s="11">
        <f t="shared" si="4"/>
        <v>0</v>
      </c>
      <c r="AO7" s="11">
        <f t="shared" si="5"/>
        <v>0</v>
      </c>
      <c r="AP7" s="11">
        <f t="shared" si="6"/>
        <v>0</v>
      </c>
      <c r="AQ7" s="11">
        <f t="shared" si="7"/>
        <v>0</v>
      </c>
      <c r="AR7" s="11">
        <f t="shared" si="8"/>
        <v>0</v>
      </c>
      <c r="AS7" s="11">
        <f t="shared" si="9"/>
        <v>0</v>
      </c>
      <c r="AT7" s="11">
        <f t="shared" si="10"/>
        <v>0</v>
      </c>
      <c r="AU7" s="11">
        <f t="shared" si="11"/>
        <v>0</v>
      </c>
    </row>
    <row r="8" spans="2:47" x14ac:dyDescent="0.35">
      <c r="B8" s="4" t="s">
        <v>37</v>
      </c>
      <c r="C8" s="4" t="s">
        <v>47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8"/>
      <c r="W8" s="9"/>
      <c r="X8" s="7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61">
        <f t="shared" si="0"/>
        <v>0</v>
      </c>
      <c r="AK8" s="11">
        <f t="shared" si="1"/>
        <v>0</v>
      </c>
      <c r="AL8" s="11">
        <f t="shared" si="2"/>
        <v>0</v>
      </c>
      <c r="AM8" s="11">
        <f t="shared" si="3"/>
        <v>0</v>
      </c>
      <c r="AN8" s="11">
        <f t="shared" si="4"/>
        <v>0</v>
      </c>
      <c r="AO8" s="11">
        <f t="shared" si="5"/>
        <v>0</v>
      </c>
      <c r="AP8" s="11">
        <f t="shared" si="6"/>
        <v>0</v>
      </c>
      <c r="AQ8" s="11">
        <f t="shared" si="7"/>
        <v>0</v>
      </c>
      <c r="AR8" s="11">
        <f t="shared" si="8"/>
        <v>0</v>
      </c>
      <c r="AS8" s="11">
        <f t="shared" si="9"/>
        <v>0</v>
      </c>
      <c r="AT8" s="11">
        <f t="shared" si="10"/>
        <v>0</v>
      </c>
      <c r="AU8" s="11">
        <f t="shared" si="11"/>
        <v>0</v>
      </c>
    </row>
    <row r="9" spans="2:47" x14ac:dyDescent="0.35">
      <c r="B9" s="4" t="s">
        <v>38</v>
      </c>
      <c r="C9" s="4" t="s">
        <v>48</v>
      </c>
      <c r="D9" s="9"/>
      <c r="E9" s="7"/>
      <c r="F9" s="7"/>
      <c r="G9" s="7"/>
      <c r="H9" s="9"/>
      <c r="I9" s="9"/>
      <c r="J9" s="7"/>
      <c r="K9" s="7"/>
      <c r="L9" s="9"/>
      <c r="M9" s="7"/>
      <c r="N9" s="7"/>
      <c r="O9" s="9"/>
      <c r="P9" s="9"/>
      <c r="Q9" s="7"/>
      <c r="R9" s="7"/>
      <c r="S9" s="8"/>
      <c r="T9" s="8"/>
      <c r="U9" s="8"/>
      <c r="V9" s="8"/>
      <c r="W9" s="9"/>
      <c r="X9" s="7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61">
        <f t="shared" si="0"/>
        <v>0</v>
      </c>
      <c r="AK9" s="11">
        <f t="shared" si="1"/>
        <v>0</v>
      </c>
      <c r="AL9" s="11">
        <f t="shared" si="2"/>
        <v>0</v>
      </c>
      <c r="AM9" s="11">
        <f t="shared" si="3"/>
        <v>0</v>
      </c>
      <c r="AN9" s="11">
        <f t="shared" si="4"/>
        <v>0</v>
      </c>
      <c r="AO9" s="11">
        <f t="shared" si="5"/>
        <v>0</v>
      </c>
      <c r="AP9" s="11">
        <f t="shared" si="6"/>
        <v>0</v>
      </c>
      <c r="AQ9" s="11">
        <f t="shared" si="7"/>
        <v>0</v>
      </c>
      <c r="AR9" s="11">
        <f t="shared" si="8"/>
        <v>0</v>
      </c>
      <c r="AS9" s="11">
        <f t="shared" si="9"/>
        <v>0</v>
      </c>
      <c r="AT9" s="11">
        <f t="shared" si="10"/>
        <v>0</v>
      </c>
      <c r="AU9" s="11">
        <f t="shared" si="11"/>
        <v>0</v>
      </c>
    </row>
    <row r="10" spans="2:47" x14ac:dyDescent="0.35">
      <c r="B10" s="4" t="s">
        <v>39</v>
      </c>
      <c r="C10" s="4" t="s">
        <v>49</v>
      </c>
      <c r="D10" s="9"/>
      <c r="E10" s="7"/>
      <c r="F10" s="7"/>
      <c r="G10" s="7"/>
      <c r="H10" s="9"/>
      <c r="I10" s="9"/>
      <c r="J10" s="7"/>
      <c r="K10" s="7"/>
      <c r="L10" s="9"/>
      <c r="M10" s="7"/>
      <c r="N10" s="7"/>
      <c r="O10" s="9"/>
      <c r="P10" s="9"/>
      <c r="Q10" s="7"/>
      <c r="R10" s="7"/>
      <c r="S10" s="8"/>
      <c r="T10" s="8"/>
      <c r="U10" s="8"/>
      <c r="V10" s="8"/>
      <c r="W10" s="9"/>
      <c r="X10" s="7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61">
        <f t="shared" si="0"/>
        <v>0</v>
      </c>
      <c r="AK10" s="11">
        <f t="shared" si="1"/>
        <v>0</v>
      </c>
      <c r="AL10" s="11">
        <f t="shared" si="2"/>
        <v>0</v>
      </c>
      <c r="AM10" s="11">
        <f t="shared" si="3"/>
        <v>0</v>
      </c>
      <c r="AN10" s="11">
        <f t="shared" si="4"/>
        <v>0</v>
      </c>
      <c r="AO10" s="11">
        <f t="shared" si="5"/>
        <v>0</v>
      </c>
      <c r="AP10" s="11">
        <f t="shared" si="6"/>
        <v>0</v>
      </c>
      <c r="AQ10" s="11">
        <f t="shared" si="7"/>
        <v>0</v>
      </c>
      <c r="AR10" s="11">
        <f t="shared" si="8"/>
        <v>0</v>
      </c>
      <c r="AS10" s="11">
        <f t="shared" si="9"/>
        <v>0</v>
      </c>
      <c r="AT10" s="11">
        <f t="shared" si="10"/>
        <v>0</v>
      </c>
      <c r="AU10" s="11">
        <f t="shared" si="11"/>
        <v>0</v>
      </c>
    </row>
    <row r="11" spans="2:47" x14ac:dyDescent="0.35">
      <c r="B11" s="4" t="s">
        <v>40</v>
      </c>
      <c r="C11" s="4" t="s">
        <v>50</v>
      </c>
      <c r="D11" s="9"/>
      <c r="E11" s="7"/>
      <c r="F11" s="7"/>
      <c r="G11" s="7"/>
      <c r="H11" s="9"/>
      <c r="I11" s="9"/>
      <c r="J11" s="7"/>
      <c r="K11" s="7"/>
      <c r="L11" s="9"/>
      <c r="M11" s="7"/>
      <c r="N11" s="7"/>
      <c r="O11" s="9"/>
      <c r="P11" s="9"/>
      <c r="Q11" s="7"/>
      <c r="R11" s="7"/>
      <c r="S11" s="8"/>
      <c r="T11" s="8"/>
      <c r="U11" s="8"/>
      <c r="V11" s="8"/>
      <c r="W11" s="9"/>
      <c r="X11" s="7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61">
        <f t="shared" si="0"/>
        <v>0</v>
      </c>
      <c r="AK11" s="11">
        <f t="shared" si="1"/>
        <v>0</v>
      </c>
      <c r="AL11" s="11">
        <f t="shared" si="2"/>
        <v>0</v>
      </c>
      <c r="AM11" s="11">
        <f t="shared" si="3"/>
        <v>0</v>
      </c>
      <c r="AN11" s="11">
        <f t="shared" si="4"/>
        <v>0</v>
      </c>
      <c r="AO11" s="11">
        <f t="shared" si="5"/>
        <v>0</v>
      </c>
      <c r="AP11" s="11">
        <f t="shared" si="6"/>
        <v>0</v>
      </c>
      <c r="AQ11" s="11">
        <f t="shared" si="7"/>
        <v>0</v>
      </c>
      <c r="AR11" s="11">
        <f t="shared" si="8"/>
        <v>0</v>
      </c>
      <c r="AS11" s="11">
        <f t="shared" si="9"/>
        <v>0</v>
      </c>
      <c r="AT11" s="11">
        <f t="shared" si="10"/>
        <v>0</v>
      </c>
      <c r="AU11" s="11">
        <f t="shared" si="11"/>
        <v>0</v>
      </c>
    </row>
    <row r="12" spans="2:47" x14ac:dyDescent="0.35">
      <c r="B12" s="4" t="s">
        <v>41</v>
      </c>
      <c r="C12" s="4" t="s">
        <v>51</v>
      </c>
      <c r="D12" s="9"/>
      <c r="E12" s="7"/>
      <c r="F12" s="7"/>
      <c r="G12" s="7"/>
      <c r="H12" s="9"/>
      <c r="I12" s="9"/>
      <c r="J12" s="7"/>
      <c r="K12" s="7"/>
      <c r="L12" s="9"/>
      <c r="M12" s="7"/>
      <c r="N12" s="7"/>
      <c r="O12" s="9"/>
      <c r="P12" s="9"/>
      <c r="Q12" s="7"/>
      <c r="R12" s="7"/>
      <c r="S12" s="8"/>
      <c r="T12" s="8"/>
      <c r="U12" s="8"/>
      <c r="V12" s="8"/>
      <c r="W12" s="9"/>
      <c r="X12" s="7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61">
        <f t="shared" si="0"/>
        <v>0</v>
      </c>
      <c r="AK12" s="11">
        <f t="shared" si="1"/>
        <v>0</v>
      </c>
      <c r="AL12" s="11">
        <f t="shared" si="2"/>
        <v>0</v>
      </c>
      <c r="AM12" s="11">
        <f t="shared" si="3"/>
        <v>0</v>
      </c>
      <c r="AN12" s="11">
        <f t="shared" si="4"/>
        <v>0</v>
      </c>
      <c r="AO12" s="11">
        <f t="shared" si="5"/>
        <v>0</v>
      </c>
      <c r="AP12" s="11">
        <f t="shared" si="6"/>
        <v>0</v>
      </c>
      <c r="AQ12" s="11">
        <f t="shared" si="7"/>
        <v>0</v>
      </c>
      <c r="AR12" s="11">
        <f t="shared" si="8"/>
        <v>0</v>
      </c>
      <c r="AS12" s="11">
        <f t="shared" si="9"/>
        <v>0</v>
      </c>
      <c r="AT12" s="11">
        <f t="shared" si="10"/>
        <v>0</v>
      </c>
      <c r="AU12" s="11">
        <f t="shared" si="11"/>
        <v>0</v>
      </c>
    </row>
    <row r="13" spans="2:47" x14ac:dyDescent="0.35">
      <c r="B13" s="4" t="s">
        <v>42</v>
      </c>
      <c r="C13" s="4" t="s">
        <v>52</v>
      </c>
      <c r="D13" s="9"/>
      <c r="E13" s="7"/>
      <c r="F13" s="7"/>
      <c r="G13" s="7"/>
      <c r="H13" s="9"/>
      <c r="I13" s="9"/>
      <c r="J13" s="7"/>
      <c r="K13" s="7"/>
      <c r="L13" s="9"/>
      <c r="M13" s="7"/>
      <c r="N13" s="7"/>
      <c r="O13" s="9"/>
      <c r="P13" s="9"/>
      <c r="Q13" s="7"/>
      <c r="R13" s="7"/>
      <c r="S13" s="8"/>
      <c r="T13" s="8"/>
      <c r="U13" s="8"/>
      <c r="V13" s="8"/>
      <c r="W13" s="9"/>
      <c r="X13" s="7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61">
        <f t="shared" si="0"/>
        <v>0</v>
      </c>
      <c r="AK13" s="11">
        <f t="shared" si="1"/>
        <v>0</v>
      </c>
      <c r="AL13" s="11">
        <f t="shared" si="2"/>
        <v>0</v>
      </c>
      <c r="AM13" s="11">
        <f t="shared" si="3"/>
        <v>0</v>
      </c>
      <c r="AN13" s="11">
        <f t="shared" si="4"/>
        <v>0</v>
      </c>
      <c r="AO13" s="11">
        <f t="shared" si="5"/>
        <v>0</v>
      </c>
      <c r="AP13" s="11">
        <f t="shared" si="6"/>
        <v>0</v>
      </c>
      <c r="AQ13" s="11">
        <f t="shared" si="7"/>
        <v>0</v>
      </c>
      <c r="AR13" s="11">
        <f t="shared" si="8"/>
        <v>0</v>
      </c>
      <c r="AS13" s="11">
        <f t="shared" si="9"/>
        <v>0</v>
      </c>
      <c r="AT13" s="11">
        <f t="shared" si="10"/>
        <v>0</v>
      </c>
      <c r="AU13" s="11">
        <f t="shared" si="11"/>
        <v>0</v>
      </c>
    </row>
  </sheetData>
  <phoneticPr fontId="3" type="noConversion"/>
  <conditionalFormatting sqref="C4:AI13">
    <cfRule type="containsText" dxfId="83" priority="8" operator="containsText" text="SL">
      <formula>NOT(ISERROR(SEARCH("SL",C4)))</formula>
    </cfRule>
  </conditionalFormatting>
  <conditionalFormatting sqref="D4:F5">
    <cfRule type="beginsWith" dxfId="82" priority="4" operator="beginsWith" text="H">
      <formula>LEFT(D4,LEN("H"))="H"</formula>
    </cfRule>
  </conditionalFormatting>
  <conditionalFormatting sqref="D3:AI13">
    <cfRule type="containsText" dxfId="81" priority="7" operator="containsText" text="TR">
      <formula>NOT(ISERROR(SEARCH("TR",D3)))</formula>
    </cfRule>
  </conditionalFormatting>
  <conditionalFormatting sqref="D4:AI13">
    <cfRule type="containsText" dxfId="80" priority="1" operator="containsText" text="ML">
      <formula>NOT(ISERROR(SEARCH("ML",D4)))</formula>
    </cfRule>
    <cfRule type="beginsWith" dxfId="79" priority="2" operator="beginsWith" text="AB">
      <formula>LEFT(D4,LEN("AB"))="AB"</formula>
    </cfRule>
    <cfRule type="beginsWith" dxfId="78" priority="3" operator="beginsWith" text="H">
      <formula>LEFT(D4,LEN("H"))="H"</formula>
    </cfRule>
    <cfRule type="containsText" dxfId="77" priority="5" operator="containsText" text="PL">
      <formula>NOT(ISERROR(SEARCH("PL",D4)))</formula>
    </cfRule>
    <cfRule type="containsText" dxfId="76" priority="6" operator="containsText" text="WFH">
      <formula>NOT(ISERROR(SEARCH("WFH",D4)))</formula>
    </cfRule>
  </conditionalFormatting>
  <conditionalFormatting sqref="D4:AU13">
    <cfRule type="containsText" dxfId="75" priority="9" operator="containsText" text="AL">
      <formula>NOT(ISERROR(SEARCH("AL",D4)))</formula>
    </cfRule>
    <cfRule type="containsText" dxfId="74" priority="10" operator="containsText" text="P">
      <formula>NOT(ISERROR(SEARCH("P",D4)))</formula>
    </cfRule>
  </conditionalFormatting>
  <dataValidations count="1">
    <dataValidation type="list" allowBlank="1" showInputMessage="1" showErrorMessage="1" sqref="D4:AI13" xr:uid="{D5542936-197C-47A7-8D6D-4EF083D94C2D}">
      <formula1>$AJ$3:$AT$3</formula1>
    </dataValidation>
  </dataValidations>
  <pageMargins left="0.7" right="0.7" top="0.75" bottom="0.75" header="0.3" footer="0.3"/>
  <pageSetup paperSize="9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04CFE-06AB-4F42-91C8-723475102796}">
  <sheetPr codeName="Sheet10"/>
  <dimension ref="B2:AU13"/>
  <sheetViews>
    <sheetView zoomScaleNormal="100" workbookViewId="0">
      <pane xSplit="3" ySplit="3" topLeftCell="D4" activePane="bottomRight" state="frozen"/>
      <selection pane="topRight" activeCell="D1" sqref="D1"/>
      <selection pane="bottomLeft" activeCell="A3" sqref="A3"/>
      <selection pane="bottomRight" activeCell="H7" sqref="H7"/>
    </sheetView>
  </sheetViews>
  <sheetFormatPr defaultRowHeight="14.5" x14ac:dyDescent="0.35"/>
  <cols>
    <col min="1" max="1" width="3.81640625" customWidth="1"/>
    <col min="2" max="2" width="22.1796875" bestFit="1" customWidth="1"/>
    <col min="3" max="3" width="9.81640625" bestFit="1" customWidth="1"/>
    <col min="4" max="4" width="5.7265625" customWidth="1"/>
    <col min="5" max="5" width="5.81640625" customWidth="1"/>
    <col min="6" max="6" width="5.7265625" customWidth="1"/>
    <col min="7" max="7" width="6" customWidth="1"/>
    <col min="8" max="8" width="6.1796875" customWidth="1"/>
    <col min="9" max="9" width="5.81640625" customWidth="1"/>
    <col min="10" max="10" width="6" customWidth="1"/>
    <col min="11" max="11" width="5.81640625" customWidth="1"/>
    <col min="12" max="12" width="6.1796875" customWidth="1"/>
    <col min="13" max="13" width="5.7265625" customWidth="1"/>
    <col min="14" max="14" width="6.1796875" customWidth="1"/>
    <col min="15" max="16" width="5.81640625" customWidth="1"/>
    <col min="17" max="17" width="6" customWidth="1"/>
    <col min="18" max="18" width="5.453125" customWidth="1"/>
    <col min="19" max="19" width="5.7265625" customWidth="1"/>
    <col min="20" max="20" width="5.81640625" customWidth="1"/>
    <col min="21" max="21" width="5.54296875" customWidth="1"/>
    <col min="22" max="25" width="5.26953125" customWidth="1"/>
    <col min="26" max="26" width="5.7265625" customWidth="1"/>
    <col min="27" max="34" width="5.81640625" customWidth="1"/>
    <col min="35" max="35" width="5.26953125" customWidth="1"/>
    <col min="36" max="36" width="4.81640625" style="62" customWidth="1"/>
    <col min="37" max="44" width="4.81640625" bestFit="1" customWidth="1"/>
    <col min="45" max="45" width="5" bestFit="1" customWidth="1"/>
    <col min="46" max="47" width="4.81640625" bestFit="1" customWidth="1"/>
  </cols>
  <sheetData>
    <row r="2" spans="2:47" ht="57.65" customHeight="1" x14ac:dyDescent="0.35">
      <c r="B2" s="13" t="s">
        <v>0</v>
      </c>
      <c r="C2" s="58">
        <v>46235</v>
      </c>
      <c r="D2" s="2">
        <v>45870</v>
      </c>
      <c r="E2" s="2">
        <v>45871</v>
      </c>
      <c r="F2" s="2">
        <v>45872</v>
      </c>
      <c r="G2" s="2">
        <v>45873</v>
      </c>
      <c r="H2" s="2">
        <v>45874</v>
      </c>
      <c r="I2" s="2">
        <v>45875</v>
      </c>
      <c r="J2" s="2">
        <v>45876</v>
      </c>
      <c r="K2" s="2">
        <v>45877</v>
      </c>
      <c r="L2" s="2">
        <v>45878</v>
      </c>
      <c r="M2" s="2">
        <v>45879</v>
      </c>
      <c r="N2" s="2">
        <v>45880</v>
      </c>
      <c r="O2" s="2">
        <v>45881</v>
      </c>
      <c r="P2" s="2">
        <v>45882</v>
      </c>
      <c r="Q2" s="2">
        <v>45883</v>
      </c>
      <c r="R2" s="2">
        <v>45884</v>
      </c>
      <c r="S2" s="2">
        <v>45885</v>
      </c>
      <c r="T2" s="2">
        <v>45886</v>
      </c>
      <c r="U2" s="2">
        <v>45887</v>
      </c>
      <c r="V2" s="2">
        <v>45888</v>
      </c>
      <c r="W2" s="2">
        <v>45889</v>
      </c>
      <c r="X2" s="2">
        <v>45890</v>
      </c>
      <c r="Y2" s="2">
        <v>45891</v>
      </c>
      <c r="Z2" s="2">
        <v>45892</v>
      </c>
      <c r="AA2" s="2">
        <v>45893</v>
      </c>
      <c r="AB2" s="2">
        <v>45894</v>
      </c>
      <c r="AC2" s="2">
        <v>45895</v>
      </c>
      <c r="AD2" s="2">
        <v>45896</v>
      </c>
      <c r="AE2" s="2">
        <v>45897</v>
      </c>
      <c r="AF2" s="2">
        <v>45898</v>
      </c>
      <c r="AG2" s="2">
        <v>45899</v>
      </c>
      <c r="AH2" s="2">
        <v>45900</v>
      </c>
      <c r="AI2" s="2"/>
      <c r="AJ2" s="12" t="s">
        <v>1</v>
      </c>
      <c r="AK2" s="12" t="s">
        <v>2</v>
      </c>
      <c r="AL2" s="12" t="s">
        <v>3</v>
      </c>
      <c r="AM2" s="12" t="s">
        <v>4</v>
      </c>
      <c r="AN2" s="12" t="s">
        <v>5</v>
      </c>
      <c r="AO2" s="12" t="s">
        <v>6</v>
      </c>
      <c r="AP2" s="12" t="s">
        <v>7</v>
      </c>
      <c r="AQ2" s="12" t="s">
        <v>8</v>
      </c>
      <c r="AR2" s="12" t="s">
        <v>9</v>
      </c>
      <c r="AS2" s="12" t="s">
        <v>10</v>
      </c>
      <c r="AT2" s="12" t="s">
        <v>11</v>
      </c>
      <c r="AU2" s="12" t="s">
        <v>12</v>
      </c>
    </row>
    <row r="3" spans="2:47" ht="32.25" customHeight="1" x14ac:dyDescent="0.35">
      <c r="B3" s="1" t="s">
        <v>13</v>
      </c>
      <c r="C3" s="1" t="s">
        <v>14</v>
      </c>
      <c r="D3" s="3" t="s">
        <v>19</v>
      </c>
      <c r="E3" s="3" t="s">
        <v>20</v>
      </c>
      <c r="F3" s="3" t="s">
        <v>21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15</v>
      </c>
      <c r="V3" s="3" t="s">
        <v>16</v>
      </c>
      <c r="W3" s="3" t="s">
        <v>17</v>
      </c>
      <c r="X3" s="3" t="s">
        <v>18</v>
      </c>
      <c r="Y3" s="3" t="s">
        <v>19</v>
      </c>
      <c r="Z3" s="3" t="s">
        <v>20</v>
      </c>
      <c r="AA3" s="3" t="s">
        <v>21</v>
      </c>
      <c r="AB3" s="3" t="s">
        <v>15</v>
      </c>
      <c r="AC3" s="3" t="s">
        <v>16</v>
      </c>
      <c r="AD3" s="3" t="s">
        <v>17</v>
      </c>
      <c r="AE3" s="3" t="s">
        <v>18</v>
      </c>
      <c r="AF3" s="3" t="s">
        <v>19</v>
      </c>
      <c r="AG3" s="3" t="s">
        <v>20</v>
      </c>
      <c r="AH3" s="3" t="s">
        <v>21</v>
      </c>
      <c r="AI3" s="10"/>
      <c r="AJ3" s="6" t="s">
        <v>22</v>
      </c>
      <c r="AK3" s="6" t="s">
        <v>53</v>
      </c>
      <c r="AL3" s="6" t="s">
        <v>91</v>
      </c>
      <c r="AM3" s="6" t="s">
        <v>25</v>
      </c>
      <c r="AN3" s="6" t="s">
        <v>26</v>
      </c>
      <c r="AO3" s="6" t="s">
        <v>27</v>
      </c>
      <c r="AP3" s="6" t="s">
        <v>28</v>
      </c>
      <c r="AQ3" s="6" t="s">
        <v>29</v>
      </c>
      <c r="AR3" s="6" t="s">
        <v>30</v>
      </c>
      <c r="AS3" s="6" t="s">
        <v>92</v>
      </c>
      <c r="AT3" s="6" t="s">
        <v>32</v>
      </c>
      <c r="AU3" s="6"/>
    </row>
    <row r="4" spans="2:47" x14ac:dyDescent="0.35">
      <c r="B4" s="4" t="s">
        <v>33</v>
      </c>
      <c r="C4" s="5" t="s">
        <v>43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8"/>
      <c r="W4" s="8"/>
      <c r="X4" s="8"/>
      <c r="Y4" s="8"/>
      <c r="Z4" s="7"/>
      <c r="AA4" s="7"/>
      <c r="AB4" s="8"/>
      <c r="AC4" s="8"/>
      <c r="AD4" s="8"/>
      <c r="AE4" s="8"/>
      <c r="AF4" s="8"/>
      <c r="AG4" s="8"/>
      <c r="AH4" s="8"/>
      <c r="AI4" s="8"/>
      <c r="AJ4" s="61">
        <f t="shared" ref="AJ4:AJ13" si="0">COUNTIF(C4:AI4,"P")</f>
        <v>0</v>
      </c>
      <c r="AK4" s="11">
        <f t="shared" ref="AK4:AK13" si="1">COUNTIF(D4:AI4,"A")</f>
        <v>0</v>
      </c>
      <c r="AL4" s="11">
        <f t="shared" ref="AL4:AL13" si="2">COUNTIF(D4:AI4,"H")</f>
        <v>0</v>
      </c>
      <c r="AM4" s="11">
        <f t="shared" ref="AM4:AM13" si="3">COUNTIF(D4:AI4,"TR")</f>
        <v>0</v>
      </c>
      <c r="AN4" s="11">
        <f t="shared" ref="AN4:AN13" si="4">COUNTIF(D4:AI4,"CL")</f>
        <v>0</v>
      </c>
      <c r="AO4" s="11">
        <f t="shared" ref="AO4:AO13" si="5">COUNTIF(D4:AI4,"SL")</f>
        <v>0</v>
      </c>
      <c r="AP4" s="11">
        <f t="shared" ref="AP4:AP13" si="6">COUNTIF(D4:AI4,"AL")</f>
        <v>0</v>
      </c>
      <c r="AQ4" s="11">
        <f t="shared" ref="AQ4:AQ13" si="7">COUNTIF(D4:AI4,"ML")</f>
        <v>0</v>
      </c>
      <c r="AR4" s="11">
        <f t="shared" ref="AR4:AR13" si="8">COUNTIF(D4:AI4,"PL")</f>
        <v>0</v>
      </c>
      <c r="AS4" s="11">
        <f t="shared" ref="AS4:AS13" si="9">COUNTIF(D4:AI4,"WFH")</f>
        <v>0</v>
      </c>
      <c r="AT4" s="11">
        <f t="shared" ref="AT4:AT13" si="10">COUNTIF(D4:AI4,"NH")</f>
        <v>0</v>
      </c>
      <c r="AU4" s="11">
        <f>SUM(AJ4:AT4)</f>
        <v>0</v>
      </c>
    </row>
    <row r="5" spans="2:47" x14ac:dyDescent="0.35">
      <c r="B5" s="4" t="s">
        <v>34</v>
      </c>
      <c r="C5" s="4" t="s">
        <v>44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8"/>
      <c r="W5" s="8"/>
      <c r="X5" s="8"/>
      <c r="Y5" s="8"/>
      <c r="Z5" s="7"/>
      <c r="AA5" s="7"/>
      <c r="AB5" s="8"/>
      <c r="AC5" s="8"/>
      <c r="AD5" s="8"/>
      <c r="AE5" s="8"/>
      <c r="AF5" s="8"/>
      <c r="AG5" s="8"/>
      <c r="AH5" s="8"/>
      <c r="AI5" s="8"/>
      <c r="AJ5" s="61">
        <f t="shared" si="0"/>
        <v>0</v>
      </c>
      <c r="AK5" s="11">
        <f t="shared" si="1"/>
        <v>0</v>
      </c>
      <c r="AL5" s="11">
        <f t="shared" si="2"/>
        <v>0</v>
      </c>
      <c r="AM5" s="11">
        <f t="shared" si="3"/>
        <v>0</v>
      </c>
      <c r="AN5" s="11">
        <f t="shared" si="4"/>
        <v>0</v>
      </c>
      <c r="AO5" s="11">
        <f t="shared" si="5"/>
        <v>0</v>
      </c>
      <c r="AP5" s="11">
        <f t="shared" si="6"/>
        <v>0</v>
      </c>
      <c r="AQ5" s="11">
        <f t="shared" si="7"/>
        <v>0</v>
      </c>
      <c r="AR5" s="11">
        <f t="shared" si="8"/>
        <v>0</v>
      </c>
      <c r="AS5" s="11">
        <f t="shared" si="9"/>
        <v>0</v>
      </c>
      <c r="AT5" s="11">
        <f t="shared" si="10"/>
        <v>0</v>
      </c>
      <c r="AU5" s="11">
        <f t="shared" ref="AU5:AU13" si="11">SUM(AJ5:AT5)</f>
        <v>0</v>
      </c>
    </row>
    <row r="6" spans="2:47" x14ac:dyDescent="0.35">
      <c r="B6" s="4" t="s">
        <v>35</v>
      </c>
      <c r="C6" s="4" t="s">
        <v>45</v>
      </c>
      <c r="D6" s="9"/>
      <c r="E6" s="9"/>
      <c r="F6" s="9"/>
      <c r="G6" s="9"/>
      <c r="H6" s="7"/>
      <c r="I6" s="7"/>
      <c r="J6" s="7"/>
      <c r="K6" s="9"/>
      <c r="L6" s="9"/>
      <c r="M6" s="7"/>
      <c r="N6" s="7"/>
      <c r="O6" s="9"/>
      <c r="P6" s="7"/>
      <c r="Q6" s="7"/>
      <c r="R6" s="9"/>
      <c r="S6" s="9"/>
      <c r="T6" s="7"/>
      <c r="U6" s="7"/>
      <c r="V6" s="8"/>
      <c r="W6" s="8"/>
      <c r="X6" s="8"/>
      <c r="Y6" s="8"/>
      <c r="Z6" s="9"/>
      <c r="AA6" s="7"/>
      <c r="AB6" s="8"/>
      <c r="AC6" s="8"/>
      <c r="AD6" s="8"/>
      <c r="AE6" s="8"/>
      <c r="AF6" s="8"/>
      <c r="AG6" s="8"/>
      <c r="AH6" s="8"/>
      <c r="AI6" s="8"/>
      <c r="AJ6" s="61">
        <f t="shared" si="0"/>
        <v>0</v>
      </c>
      <c r="AK6" s="11">
        <f t="shared" si="1"/>
        <v>0</v>
      </c>
      <c r="AL6" s="11">
        <f t="shared" si="2"/>
        <v>0</v>
      </c>
      <c r="AM6" s="11">
        <f t="shared" si="3"/>
        <v>0</v>
      </c>
      <c r="AN6" s="11">
        <f t="shared" si="4"/>
        <v>0</v>
      </c>
      <c r="AO6" s="11">
        <f t="shared" si="5"/>
        <v>0</v>
      </c>
      <c r="AP6" s="11">
        <f t="shared" si="6"/>
        <v>0</v>
      </c>
      <c r="AQ6" s="11">
        <f t="shared" si="7"/>
        <v>0</v>
      </c>
      <c r="AR6" s="11">
        <f t="shared" si="8"/>
        <v>0</v>
      </c>
      <c r="AS6" s="11">
        <f t="shared" si="9"/>
        <v>0</v>
      </c>
      <c r="AT6" s="11">
        <f t="shared" si="10"/>
        <v>0</v>
      </c>
      <c r="AU6" s="11">
        <f t="shared" si="11"/>
        <v>0</v>
      </c>
    </row>
    <row r="7" spans="2:47" x14ac:dyDescent="0.35">
      <c r="B7" s="4" t="s">
        <v>36</v>
      </c>
      <c r="C7" s="4" t="s">
        <v>46</v>
      </c>
      <c r="D7" s="9"/>
      <c r="E7" s="9"/>
      <c r="F7" s="9"/>
      <c r="G7" s="9"/>
      <c r="H7" s="7"/>
      <c r="I7" s="7"/>
      <c r="J7" s="7"/>
      <c r="K7" s="9"/>
      <c r="L7" s="9"/>
      <c r="M7" s="7"/>
      <c r="N7" s="7"/>
      <c r="O7" s="9"/>
      <c r="P7" s="7"/>
      <c r="Q7" s="7"/>
      <c r="R7" s="9"/>
      <c r="S7" s="9"/>
      <c r="T7" s="7"/>
      <c r="U7" s="7"/>
      <c r="V7" s="8"/>
      <c r="W7" s="8"/>
      <c r="X7" s="8"/>
      <c r="Y7" s="8"/>
      <c r="Z7" s="9"/>
      <c r="AA7" s="7"/>
      <c r="AB7" s="8"/>
      <c r="AC7" s="8"/>
      <c r="AD7" s="8"/>
      <c r="AE7" s="8"/>
      <c r="AF7" s="8"/>
      <c r="AG7" s="8"/>
      <c r="AH7" s="8"/>
      <c r="AI7" s="8"/>
      <c r="AJ7" s="61">
        <f t="shared" si="0"/>
        <v>0</v>
      </c>
      <c r="AK7" s="11">
        <f t="shared" si="1"/>
        <v>0</v>
      </c>
      <c r="AL7" s="11">
        <f t="shared" si="2"/>
        <v>0</v>
      </c>
      <c r="AM7" s="11">
        <f t="shared" si="3"/>
        <v>0</v>
      </c>
      <c r="AN7" s="11">
        <f t="shared" si="4"/>
        <v>0</v>
      </c>
      <c r="AO7" s="11">
        <f t="shared" si="5"/>
        <v>0</v>
      </c>
      <c r="AP7" s="11">
        <f t="shared" si="6"/>
        <v>0</v>
      </c>
      <c r="AQ7" s="11">
        <f t="shared" si="7"/>
        <v>0</v>
      </c>
      <c r="AR7" s="11">
        <f t="shared" si="8"/>
        <v>0</v>
      </c>
      <c r="AS7" s="11">
        <f t="shared" si="9"/>
        <v>0</v>
      </c>
      <c r="AT7" s="11">
        <f t="shared" si="10"/>
        <v>0</v>
      </c>
      <c r="AU7" s="11">
        <f t="shared" si="11"/>
        <v>0</v>
      </c>
    </row>
    <row r="8" spans="2:47" x14ac:dyDescent="0.35">
      <c r="B8" s="4" t="s">
        <v>37</v>
      </c>
      <c r="C8" s="4" t="s">
        <v>47</v>
      </c>
      <c r="D8" s="9"/>
      <c r="E8" s="9"/>
      <c r="F8" s="9"/>
      <c r="G8" s="9"/>
      <c r="H8" s="7"/>
      <c r="I8" s="7"/>
      <c r="J8" s="7"/>
      <c r="K8" s="9"/>
      <c r="L8" s="9"/>
      <c r="M8" s="7"/>
      <c r="N8" s="7"/>
      <c r="O8" s="9"/>
      <c r="P8" s="7"/>
      <c r="Q8" s="7"/>
      <c r="R8" s="9"/>
      <c r="S8" s="9"/>
      <c r="T8" s="7"/>
      <c r="U8" s="7"/>
      <c r="V8" s="8"/>
      <c r="W8" s="8"/>
      <c r="X8" s="8"/>
      <c r="Y8" s="8"/>
      <c r="Z8" s="9"/>
      <c r="AA8" s="7"/>
      <c r="AB8" s="8"/>
      <c r="AC8" s="8"/>
      <c r="AD8" s="8"/>
      <c r="AE8" s="8"/>
      <c r="AF8" s="8"/>
      <c r="AG8" s="8"/>
      <c r="AH8" s="8"/>
      <c r="AI8" s="8"/>
      <c r="AJ8" s="61">
        <f t="shared" si="0"/>
        <v>0</v>
      </c>
      <c r="AK8" s="11">
        <f t="shared" si="1"/>
        <v>0</v>
      </c>
      <c r="AL8" s="11">
        <f t="shared" si="2"/>
        <v>0</v>
      </c>
      <c r="AM8" s="11">
        <f t="shared" si="3"/>
        <v>0</v>
      </c>
      <c r="AN8" s="11">
        <f t="shared" si="4"/>
        <v>0</v>
      </c>
      <c r="AO8" s="11">
        <f t="shared" si="5"/>
        <v>0</v>
      </c>
      <c r="AP8" s="11">
        <f t="shared" si="6"/>
        <v>0</v>
      </c>
      <c r="AQ8" s="11">
        <f t="shared" si="7"/>
        <v>0</v>
      </c>
      <c r="AR8" s="11">
        <f t="shared" si="8"/>
        <v>0</v>
      </c>
      <c r="AS8" s="11">
        <f t="shared" si="9"/>
        <v>0</v>
      </c>
      <c r="AT8" s="11">
        <f t="shared" si="10"/>
        <v>0</v>
      </c>
      <c r="AU8" s="11">
        <f t="shared" si="11"/>
        <v>0</v>
      </c>
    </row>
    <row r="9" spans="2:47" x14ac:dyDescent="0.35">
      <c r="B9" s="4" t="s">
        <v>38</v>
      </c>
      <c r="C9" s="4" t="s">
        <v>48</v>
      </c>
      <c r="D9" s="9"/>
      <c r="E9" s="9"/>
      <c r="F9" s="9"/>
      <c r="G9" s="9"/>
      <c r="H9" s="7"/>
      <c r="I9" s="7"/>
      <c r="J9" s="7"/>
      <c r="K9" s="9"/>
      <c r="L9" s="9"/>
      <c r="M9" s="7"/>
      <c r="N9" s="7"/>
      <c r="O9" s="9"/>
      <c r="P9" s="7"/>
      <c r="Q9" s="7"/>
      <c r="R9" s="9"/>
      <c r="S9" s="9"/>
      <c r="T9" s="7"/>
      <c r="U9" s="7"/>
      <c r="V9" s="8"/>
      <c r="W9" s="8"/>
      <c r="X9" s="8"/>
      <c r="Y9" s="8"/>
      <c r="Z9" s="9"/>
      <c r="AA9" s="7"/>
      <c r="AB9" s="8"/>
      <c r="AC9" s="8"/>
      <c r="AD9" s="8"/>
      <c r="AE9" s="8"/>
      <c r="AF9" s="8"/>
      <c r="AG9" s="8"/>
      <c r="AH9" s="8"/>
      <c r="AI9" s="8"/>
      <c r="AJ9" s="61">
        <f t="shared" si="0"/>
        <v>0</v>
      </c>
      <c r="AK9" s="11">
        <f t="shared" si="1"/>
        <v>0</v>
      </c>
      <c r="AL9" s="11">
        <f t="shared" si="2"/>
        <v>0</v>
      </c>
      <c r="AM9" s="11">
        <f t="shared" si="3"/>
        <v>0</v>
      </c>
      <c r="AN9" s="11">
        <f t="shared" si="4"/>
        <v>0</v>
      </c>
      <c r="AO9" s="11">
        <f t="shared" si="5"/>
        <v>0</v>
      </c>
      <c r="AP9" s="11">
        <f t="shared" si="6"/>
        <v>0</v>
      </c>
      <c r="AQ9" s="11">
        <f t="shared" si="7"/>
        <v>0</v>
      </c>
      <c r="AR9" s="11">
        <f t="shared" si="8"/>
        <v>0</v>
      </c>
      <c r="AS9" s="11">
        <f t="shared" si="9"/>
        <v>0</v>
      </c>
      <c r="AT9" s="11">
        <f t="shared" si="10"/>
        <v>0</v>
      </c>
      <c r="AU9" s="11">
        <f t="shared" si="11"/>
        <v>0</v>
      </c>
    </row>
    <row r="10" spans="2:47" x14ac:dyDescent="0.35">
      <c r="B10" s="4" t="s">
        <v>39</v>
      </c>
      <c r="C10" s="4" t="s">
        <v>49</v>
      </c>
      <c r="D10" s="9"/>
      <c r="E10" s="9"/>
      <c r="F10" s="9"/>
      <c r="G10" s="9"/>
      <c r="H10" s="7"/>
      <c r="I10" s="7"/>
      <c r="J10" s="7"/>
      <c r="K10" s="9"/>
      <c r="L10" s="9"/>
      <c r="M10" s="7"/>
      <c r="N10" s="7"/>
      <c r="O10" s="9"/>
      <c r="P10" s="7"/>
      <c r="Q10" s="7"/>
      <c r="R10" s="9"/>
      <c r="S10" s="9"/>
      <c r="T10" s="7"/>
      <c r="U10" s="7"/>
      <c r="V10" s="8"/>
      <c r="W10" s="8"/>
      <c r="X10" s="8"/>
      <c r="Y10" s="8"/>
      <c r="Z10" s="9"/>
      <c r="AA10" s="7"/>
      <c r="AB10" s="8"/>
      <c r="AC10" s="8"/>
      <c r="AD10" s="8"/>
      <c r="AE10" s="8"/>
      <c r="AF10" s="8"/>
      <c r="AG10" s="8"/>
      <c r="AH10" s="8"/>
      <c r="AI10" s="8"/>
      <c r="AJ10" s="61">
        <f t="shared" si="0"/>
        <v>0</v>
      </c>
      <c r="AK10" s="11">
        <f t="shared" si="1"/>
        <v>0</v>
      </c>
      <c r="AL10" s="11">
        <f t="shared" si="2"/>
        <v>0</v>
      </c>
      <c r="AM10" s="11">
        <f t="shared" si="3"/>
        <v>0</v>
      </c>
      <c r="AN10" s="11">
        <f t="shared" si="4"/>
        <v>0</v>
      </c>
      <c r="AO10" s="11">
        <f t="shared" si="5"/>
        <v>0</v>
      </c>
      <c r="AP10" s="11">
        <f t="shared" si="6"/>
        <v>0</v>
      </c>
      <c r="AQ10" s="11">
        <f t="shared" si="7"/>
        <v>0</v>
      </c>
      <c r="AR10" s="11">
        <f t="shared" si="8"/>
        <v>0</v>
      </c>
      <c r="AS10" s="11">
        <f t="shared" si="9"/>
        <v>0</v>
      </c>
      <c r="AT10" s="11">
        <f t="shared" si="10"/>
        <v>0</v>
      </c>
      <c r="AU10" s="11">
        <f t="shared" si="11"/>
        <v>0</v>
      </c>
    </row>
    <row r="11" spans="2:47" x14ac:dyDescent="0.35">
      <c r="B11" s="4" t="s">
        <v>40</v>
      </c>
      <c r="C11" s="4" t="s">
        <v>50</v>
      </c>
      <c r="D11" s="9"/>
      <c r="E11" s="9"/>
      <c r="F11" s="9"/>
      <c r="G11" s="9"/>
      <c r="H11" s="7"/>
      <c r="I11" s="7"/>
      <c r="J11" s="7"/>
      <c r="K11" s="9"/>
      <c r="L11" s="9"/>
      <c r="M11" s="7"/>
      <c r="N11" s="7"/>
      <c r="O11" s="9"/>
      <c r="P11" s="7"/>
      <c r="Q11" s="7"/>
      <c r="R11" s="9"/>
      <c r="S11" s="9"/>
      <c r="T11" s="7"/>
      <c r="U11" s="7"/>
      <c r="V11" s="8"/>
      <c r="W11" s="8"/>
      <c r="X11" s="8"/>
      <c r="Y11" s="8"/>
      <c r="Z11" s="9"/>
      <c r="AA11" s="7"/>
      <c r="AB11" s="8"/>
      <c r="AC11" s="8"/>
      <c r="AD11" s="8"/>
      <c r="AE11" s="8"/>
      <c r="AF11" s="8"/>
      <c r="AG11" s="8"/>
      <c r="AH11" s="8"/>
      <c r="AI11" s="8"/>
      <c r="AJ11" s="61">
        <f t="shared" si="0"/>
        <v>0</v>
      </c>
      <c r="AK11" s="11">
        <f t="shared" si="1"/>
        <v>0</v>
      </c>
      <c r="AL11" s="11">
        <f t="shared" si="2"/>
        <v>0</v>
      </c>
      <c r="AM11" s="11">
        <f t="shared" si="3"/>
        <v>0</v>
      </c>
      <c r="AN11" s="11">
        <f t="shared" si="4"/>
        <v>0</v>
      </c>
      <c r="AO11" s="11">
        <f t="shared" si="5"/>
        <v>0</v>
      </c>
      <c r="AP11" s="11">
        <f t="shared" si="6"/>
        <v>0</v>
      </c>
      <c r="AQ11" s="11">
        <f t="shared" si="7"/>
        <v>0</v>
      </c>
      <c r="AR11" s="11">
        <f t="shared" si="8"/>
        <v>0</v>
      </c>
      <c r="AS11" s="11">
        <f t="shared" si="9"/>
        <v>0</v>
      </c>
      <c r="AT11" s="11">
        <f t="shared" si="10"/>
        <v>0</v>
      </c>
      <c r="AU11" s="11">
        <f t="shared" si="11"/>
        <v>0</v>
      </c>
    </row>
    <row r="12" spans="2:47" x14ac:dyDescent="0.35">
      <c r="B12" s="4" t="s">
        <v>41</v>
      </c>
      <c r="C12" s="4" t="s">
        <v>51</v>
      </c>
      <c r="D12" s="9"/>
      <c r="E12" s="9"/>
      <c r="F12" s="9"/>
      <c r="G12" s="9"/>
      <c r="H12" s="7"/>
      <c r="I12" s="7"/>
      <c r="J12" s="7"/>
      <c r="K12" s="9"/>
      <c r="L12" s="9"/>
      <c r="M12" s="7"/>
      <c r="N12" s="7"/>
      <c r="O12" s="9"/>
      <c r="P12" s="7"/>
      <c r="Q12" s="7"/>
      <c r="R12" s="9"/>
      <c r="S12" s="9"/>
      <c r="T12" s="7"/>
      <c r="U12" s="7"/>
      <c r="V12" s="8"/>
      <c r="W12" s="8"/>
      <c r="X12" s="8"/>
      <c r="Y12" s="8"/>
      <c r="Z12" s="9"/>
      <c r="AA12" s="7"/>
      <c r="AB12" s="8"/>
      <c r="AC12" s="8"/>
      <c r="AD12" s="8"/>
      <c r="AE12" s="8"/>
      <c r="AF12" s="8"/>
      <c r="AG12" s="8"/>
      <c r="AH12" s="8"/>
      <c r="AI12" s="8"/>
      <c r="AJ12" s="61">
        <f t="shared" si="0"/>
        <v>0</v>
      </c>
      <c r="AK12" s="11">
        <f t="shared" si="1"/>
        <v>0</v>
      </c>
      <c r="AL12" s="11">
        <f t="shared" si="2"/>
        <v>0</v>
      </c>
      <c r="AM12" s="11">
        <f t="shared" si="3"/>
        <v>0</v>
      </c>
      <c r="AN12" s="11">
        <f t="shared" si="4"/>
        <v>0</v>
      </c>
      <c r="AO12" s="11">
        <f t="shared" si="5"/>
        <v>0</v>
      </c>
      <c r="AP12" s="11">
        <f t="shared" si="6"/>
        <v>0</v>
      </c>
      <c r="AQ12" s="11">
        <f t="shared" si="7"/>
        <v>0</v>
      </c>
      <c r="AR12" s="11">
        <f t="shared" si="8"/>
        <v>0</v>
      </c>
      <c r="AS12" s="11">
        <f t="shared" si="9"/>
        <v>0</v>
      </c>
      <c r="AT12" s="11">
        <f t="shared" si="10"/>
        <v>0</v>
      </c>
      <c r="AU12" s="11">
        <f t="shared" si="11"/>
        <v>0</v>
      </c>
    </row>
    <row r="13" spans="2:47" x14ac:dyDescent="0.35">
      <c r="B13" s="4" t="s">
        <v>42</v>
      </c>
      <c r="C13" s="4" t="s">
        <v>52</v>
      </c>
      <c r="D13" s="9"/>
      <c r="E13" s="9"/>
      <c r="F13" s="9"/>
      <c r="G13" s="9"/>
      <c r="H13" s="7"/>
      <c r="I13" s="7"/>
      <c r="J13" s="7"/>
      <c r="K13" s="9"/>
      <c r="L13" s="9"/>
      <c r="M13" s="7"/>
      <c r="N13" s="7"/>
      <c r="O13" s="9"/>
      <c r="P13" s="7"/>
      <c r="Q13" s="7"/>
      <c r="R13" s="9"/>
      <c r="S13" s="9"/>
      <c r="T13" s="7"/>
      <c r="U13" s="7"/>
      <c r="V13" s="8"/>
      <c r="W13" s="8"/>
      <c r="X13" s="8"/>
      <c r="Y13" s="8"/>
      <c r="Z13" s="9"/>
      <c r="AA13" s="7"/>
      <c r="AB13" s="8"/>
      <c r="AC13" s="8"/>
      <c r="AD13" s="8"/>
      <c r="AE13" s="8"/>
      <c r="AF13" s="8"/>
      <c r="AG13" s="8"/>
      <c r="AH13" s="8"/>
      <c r="AI13" s="8"/>
      <c r="AJ13" s="61">
        <f t="shared" si="0"/>
        <v>0</v>
      </c>
      <c r="AK13" s="11">
        <f t="shared" si="1"/>
        <v>0</v>
      </c>
      <c r="AL13" s="11">
        <f t="shared" si="2"/>
        <v>0</v>
      </c>
      <c r="AM13" s="11">
        <f t="shared" si="3"/>
        <v>0</v>
      </c>
      <c r="AN13" s="11">
        <f t="shared" si="4"/>
        <v>0</v>
      </c>
      <c r="AO13" s="11">
        <f t="shared" si="5"/>
        <v>0</v>
      </c>
      <c r="AP13" s="11">
        <f t="shared" si="6"/>
        <v>0</v>
      </c>
      <c r="AQ13" s="11">
        <f t="shared" si="7"/>
        <v>0</v>
      </c>
      <c r="AR13" s="11">
        <f t="shared" si="8"/>
        <v>0</v>
      </c>
      <c r="AS13" s="11">
        <f t="shared" si="9"/>
        <v>0</v>
      </c>
      <c r="AT13" s="11">
        <f t="shared" si="10"/>
        <v>0</v>
      </c>
      <c r="AU13" s="11">
        <f t="shared" si="11"/>
        <v>0</v>
      </c>
    </row>
  </sheetData>
  <phoneticPr fontId="3" type="noConversion"/>
  <conditionalFormatting sqref="C4:AI13">
    <cfRule type="containsText" dxfId="73" priority="8" operator="containsText" text="SL">
      <formula>NOT(ISERROR(SEARCH("SL",C4)))</formula>
    </cfRule>
  </conditionalFormatting>
  <conditionalFormatting sqref="D4:I5">
    <cfRule type="beginsWith" dxfId="72" priority="4" operator="beginsWith" text="H">
      <formula>LEFT(D4,LEN("H"))="H"</formula>
    </cfRule>
  </conditionalFormatting>
  <conditionalFormatting sqref="D3:AI13">
    <cfRule type="containsText" dxfId="71" priority="7" operator="containsText" text="TR">
      <formula>NOT(ISERROR(SEARCH("TR",D3)))</formula>
    </cfRule>
  </conditionalFormatting>
  <conditionalFormatting sqref="D4:AI13">
    <cfRule type="containsText" dxfId="70" priority="1" operator="containsText" text="ML">
      <formula>NOT(ISERROR(SEARCH("ML",D4)))</formula>
    </cfRule>
    <cfRule type="beginsWith" dxfId="69" priority="2" operator="beginsWith" text="AB">
      <formula>LEFT(D4,LEN("AB"))="AB"</formula>
    </cfRule>
    <cfRule type="beginsWith" dxfId="68" priority="3" operator="beginsWith" text="H">
      <formula>LEFT(D4,LEN("H"))="H"</formula>
    </cfRule>
    <cfRule type="containsText" dxfId="67" priority="5" operator="containsText" text="PL">
      <formula>NOT(ISERROR(SEARCH("PL",D4)))</formula>
    </cfRule>
    <cfRule type="containsText" dxfId="66" priority="6" operator="containsText" text="WFH">
      <formula>NOT(ISERROR(SEARCH("WFH",D4)))</formula>
    </cfRule>
  </conditionalFormatting>
  <conditionalFormatting sqref="D4:AU13">
    <cfRule type="containsText" dxfId="65" priority="9" operator="containsText" text="AL">
      <formula>NOT(ISERROR(SEARCH("AL",D4)))</formula>
    </cfRule>
    <cfRule type="containsText" dxfId="64" priority="10" operator="containsText" text="P">
      <formula>NOT(ISERROR(SEARCH("P",D4)))</formula>
    </cfRule>
  </conditionalFormatting>
  <dataValidations count="1">
    <dataValidation type="list" allowBlank="1" showInputMessage="1" showErrorMessage="1" sqref="D4:AI13" xr:uid="{5656ABE0-44F6-4C88-8BB8-3CC056545FCB}">
      <formula1>$AJ$3:$AT$3</formula1>
    </dataValidation>
  </dataValidations>
  <pageMargins left="0.7" right="0.7" top="0.75" bottom="0.75" header="0.3" footer="0.3"/>
  <pageSetup paperSize="9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29FC0-B16F-412B-879B-E9EB4FB56194}">
  <sheetPr codeName="Sheet11"/>
  <dimension ref="B2:AU13"/>
  <sheetViews>
    <sheetView zoomScaleNormal="100" workbookViewId="0">
      <pane xSplit="3" ySplit="3" topLeftCell="D4" activePane="bottomRight" state="frozen"/>
      <selection pane="topRight" activeCell="D1" sqref="D1"/>
      <selection pane="bottomLeft" activeCell="A3" sqref="A3"/>
      <selection pane="bottomRight" activeCell="G10" sqref="G10"/>
    </sheetView>
  </sheetViews>
  <sheetFormatPr defaultRowHeight="14.5" x14ac:dyDescent="0.35"/>
  <cols>
    <col min="1" max="1" width="3.81640625" customWidth="1"/>
    <col min="2" max="2" width="22.1796875" bestFit="1" customWidth="1"/>
    <col min="3" max="3" width="9.81640625" bestFit="1" customWidth="1"/>
    <col min="4" max="4" width="5.81640625" customWidth="1"/>
    <col min="5" max="5" width="5.7265625" customWidth="1"/>
    <col min="6" max="6" width="5.54296875" customWidth="1"/>
    <col min="7" max="7" width="5.7265625" customWidth="1"/>
    <col min="8" max="8" width="5.81640625" customWidth="1"/>
    <col min="9" max="9" width="5.7265625" customWidth="1"/>
    <col min="10" max="10" width="6" customWidth="1"/>
    <col min="11" max="11" width="6.1796875" customWidth="1"/>
    <col min="12" max="12" width="5.81640625" customWidth="1"/>
    <col min="13" max="13" width="6" customWidth="1"/>
    <col min="14" max="14" width="5.81640625" customWidth="1"/>
    <col min="15" max="15" width="6.1796875" customWidth="1"/>
    <col min="16" max="16" width="5.7265625" customWidth="1"/>
    <col min="17" max="17" width="6.1796875" customWidth="1"/>
    <col min="18" max="19" width="5.81640625" customWidth="1"/>
    <col min="20" max="20" width="6" customWidth="1"/>
    <col min="21" max="21" width="5.453125" customWidth="1"/>
    <col min="22" max="22" width="5.7265625" customWidth="1"/>
    <col min="23" max="23" width="5.81640625" customWidth="1"/>
    <col min="24" max="24" width="5.54296875" customWidth="1"/>
    <col min="25" max="28" width="5.26953125" customWidth="1"/>
    <col min="29" max="29" width="5.7265625" customWidth="1"/>
    <col min="30" max="33" width="5.81640625" customWidth="1"/>
    <col min="34" max="35" width="5.26953125" customWidth="1"/>
    <col min="36" max="36" width="4.81640625" customWidth="1"/>
    <col min="37" max="44" width="4.81640625" bestFit="1" customWidth="1"/>
    <col min="45" max="45" width="5" bestFit="1" customWidth="1"/>
    <col min="46" max="47" width="4.81640625" bestFit="1" customWidth="1"/>
  </cols>
  <sheetData>
    <row r="2" spans="2:47" ht="57.65" customHeight="1" x14ac:dyDescent="0.35">
      <c r="B2" s="13" t="s">
        <v>0</v>
      </c>
      <c r="C2" s="58">
        <v>46204</v>
      </c>
      <c r="D2" s="2">
        <v>45839</v>
      </c>
      <c r="E2" s="2">
        <v>45840</v>
      </c>
      <c r="F2" s="2">
        <v>45841</v>
      </c>
      <c r="G2" s="2">
        <v>45842</v>
      </c>
      <c r="H2" s="2">
        <v>45843</v>
      </c>
      <c r="I2" s="2">
        <v>45844</v>
      </c>
      <c r="J2" s="2">
        <v>45845</v>
      </c>
      <c r="K2" s="2">
        <v>45846</v>
      </c>
      <c r="L2" s="2">
        <v>45847</v>
      </c>
      <c r="M2" s="2">
        <v>45848</v>
      </c>
      <c r="N2" s="2">
        <v>45849</v>
      </c>
      <c r="O2" s="2">
        <v>45850</v>
      </c>
      <c r="P2" s="2">
        <v>45851</v>
      </c>
      <c r="Q2" s="2">
        <v>45852</v>
      </c>
      <c r="R2" s="2">
        <v>45853</v>
      </c>
      <c r="S2" s="2">
        <v>45854</v>
      </c>
      <c r="T2" s="2">
        <v>45855</v>
      </c>
      <c r="U2" s="2">
        <v>45856</v>
      </c>
      <c r="V2" s="2">
        <v>45857</v>
      </c>
      <c r="W2" s="2">
        <v>45858</v>
      </c>
      <c r="X2" s="2">
        <v>45859</v>
      </c>
      <c r="Y2" s="2">
        <v>45860</v>
      </c>
      <c r="Z2" s="2">
        <v>45861</v>
      </c>
      <c r="AA2" s="2">
        <v>45862</v>
      </c>
      <c r="AB2" s="2">
        <v>45863</v>
      </c>
      <c r="AC2" s="2">
        <v>45864</v>
      </c>
      <c r="AD2" s="2">
        <v>45865</v>
      </c>
      <c r="AE2" s="2">
        <v>45866</v>
      </c>
      <c r="AF2" s="2">
        <v>45867</v>
      </c>
      <c r="AG2" s="2">
        <v>45868</v>
      </c>
      <c r="AH2" s="2">
        <v>45869</v>
      </c>
      <c r="AI2" s="2"/>
      <c r="AJ2" s="12" t="s">
        <v>1</v>
      </c>
      <c r="AK2" s="12" t="s">
        <v>2</v>
      </c>
      <c r="AL2" s="12" t="s">
        <v>3</v>
      </c>
      <c r="AM2" s="12" t="s">
        <v>4</v>
      </c>
      <c r="AN2" s="12" t="s">
        <v>5</v>
      </c>
      <c r="AO2" s="12" t="s">
        <v>6</v>
      </c>
      <c r="AP2" s="12" t="s">
        <v>7</v>
      </c>
      <c r="AQ2" s="12" t="s">
        <v>8</v>
      </c>
      <c r="AR2" s="12" t="s">
        <v>9</v>
      </c>
      <c r="AS2" s="12" t="s">
        <v>10</v>
      </c>
      <c r="AT2" s="12" t="s">
        <v>11</v>
      </c>
      <c r="AU2" s="12" t="s">
        <v>12</v>
      </c>
    </row>
    <row r="3" spans="2:47" ht="32.25" customHeight="1" x14ac:dyDescent="0.35">
      <c r="B3" s="1" t="s">
        <v>13</v>
      </c>
      <c r="C3" s="1" t="s">
        <v>14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3" t="s">
        <v>21</v>
      </c>
      <c r="J3" s="3" t="s">
        <v>15</v>
      </c>
      <c r="K3" s="3" t="s">
        <v>16</v>
      </c>
      <c r="L3" s="3" t="s">
        <v>17</v>
      </c>
      <c r="M3" s="3" t="s">
        <v>18</v>
      </c>
      <c r="N3" s="3" t="s">
        <v>19</v>
      </c>
      <c r="O3" s="3" t="s">
        <v>20</v>
      </c>
      <c r="P3" s="3" t="s">
        <v>21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15</v>
      </c>
      <c r="Y3" s="3" t="s">
        <v>16</v>
      </c>
      <c r="Z3" s="3" t="s">
        <v>17</v>
      </c>
      <c r="AA3" s="3" t="s">
        <v>18</v>
      </c>
      <c r="AB3" s="3" t="s">
        <v>19</v>
      </c>
      <c r="AC3" s="3" t="s">
        <v>20</v>
      </c>
      <c r="AD3" s="3" t="s">
        <v>21</v>
      </c>
      <c r="AE3" s="3" t="s">
        <v>15</v>
      </c>
      <c r="AF3" s="3" t="s">
        <v>16</v>
      </c>
      <c r="AG3" s="3" t="s">
        <v>17</v>
      </c>
      <c r="AH3" s="3" t="s">
        <v>18</v>
      </c>
      <c r="AI3" s="10"/>
      <c r="AJ3" s="6" t="s">
        <v>22</v>
      </c>
      <c r="AK3" s="6" t="s">
        <v>53</v>
      </c>
      <c r="AL3" s="6" t="s">
        <v>91</v>
      </c>
      <c r="AM3" s="6" t="s">
        <v>25</v>
      </c>
      <c r="AN3" s="6" t="s">
        <v>26</v>
      </c>
      <c r="AO3" s="6" t="s">
        <v>27</v>
      </c>
      <c r="AP3" s="6" t="s">
        <v>28</v>
      </c>
      <c r="AQ3" s="6" t="s">
        <v>29</v>
      </c>
      <c r="AR3" s="6" t="s">
        <v>30</v>
      </c>
      <c r="AS3" s="6" t="s">
        <v>92</v>
      </c>
      <c r="AT3" s="6" t="s">
        <v>32</v>
      </c>
      <c r="AU3" s="6"/>
    </row>
    <row r="4" spans="2:47" x14ac:dyDescent="0.35">
      <c r="B4" s="4" t="s">
        <v>33</v>
      </c>
      <c r="C4" s="5" t="s">
        <v>43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8"/>
      <c r="Z4" s="8"/>
      <c r="AA4" s="8"/>
      <c r="AB4" s="8"/>
      <c r="AC4" s="7"/>
      <c r="AD4" s="7"/>
      <c r="AE4" s="8"/>
      <c r="AF4" s="8"/>
      <c r="AG4" s="8"/>
      <c r="AH4" s="8"/>
      <c r="AI4" s="8"/>
      <c r="AJ4" s="11">
        <f t="shared" ref="AJ4:AJ13" si="0">COUNTIF(C4:AH4,"P")</f>
        <v>0</v>
      </c>
      <c r="AK4" s="11">
        <f t="shared" ref="AK4:AK13" si="1">COUNTIF(D4:AH4,"A")</f>
        <v>0</v>
      </c>
      <c r="AL4" s="11">
        <f t="shared" ref="AL4:AL13" si="2">COUNTIF(D4:AH4,"H")</f>
        <v>0</v>
      </c>
      <c r="AM4" s="11">
        <f t="shared" ref="AM4:AM13" si="3">COUNTIF(D4:AH4,"TR")</f>
        <v>0</v>
      </c>
      <c r="AN4" s="11">
        <f t="shared" ref="AN4:AN13" si="4">COUNTIF(D4:AH4,"CL")</f>
        <v>0</v>
      </c>
      <c r="AO4" s="11">
        <f t="shared" ref="AO4:AO13" si="5">COUNTIF(D4:AH4,"SL")</f>
        <v>0</v>
      </c>
      <c r="AP4" s="11">
        <f t="shared" ref="AP4:AP13" si="6">COUNTIF(D4:AH4,"AL")</f>
        <v>0</v>
      </c>
      <c r="AQ4" s="11">
        <f t="shared" ref="AQ4:AQ13" si="7">COUNTIF(D4:AH4,"ML")</f>
        <v>0</v>
      </c>
      <c r="AR4" s="11">
        <f t="shared" ref="AR4:AR13" si="8">COUNTIF(D4:AH4,"PL")</f>
        <v>0</v>
      </c>
      <c r="AS4" s="11">
        <f t="shared" ref="AS4:AS13" si="9">COUNTIF(D4:AH4,"WFH")</f>
        <v>0</v>
      </c>
      <c r="AT4" s="11">
        <f t="shared" ref="AT4:AT13" si="10">COUNTIF(D4:AH4,"NH")</f>
        <v>0</v>
      </c>
      <c r="AU4" s="11">
        <f>SUM(AJ4:AT4)</f>
        <v>0</v>
      </c>
    </row>
    <row r="5" spans="2:47" x14ac:dyDescent="0.35">
      <c r="B5" s="4" t="s">
        <v>34</v>
      </c>
      <c r="C5" s="4" t="s">
        <v>44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8"/>
      <c r="Z5" s="8"/>
      <c r="AA5" s="8"/>
      <c r="AB5" s="8"/>
      <c r="AC5" s="7"/>
      <c r="AD5" s="7"/>
      <c r="AE5" s="8"/>
      <c r="AF5" s="8"/>
      <c r="AG5" s="8"/>
      <c r="AH5" s="8"/>
      <c r="AI5" s="8"/>
      <c r="AJ5" s="11">
        <f t="shared" si="0"/>
        <v>0</v>
      </c>
      <c r="AK5" s="11">
        <f t="shared" si="1"/>
        <v>0</v>
      </c>
      <c r="AL5" s="11">
        <f t="shared" si="2"/>
        <v>0</v>
      </c>
      <c r="AM5" s="11">
        <f t="shared" si="3"/>
        <v>0</v>
      </c>
      <c r="AN5" s="11">
        <f t="shared" si="4"/>
        <v>0</v>
      </c>
      <c r="AO5" s="11">
        <f t="shared" si="5"/>
        <v>0</v>
      </c>
      <c r="AP5" s="11">
        <f t="shared" si="6"/>
        <v>0</v>
      </c>
      <c r="AQ5" s="11">
        <f t="shared" si="7"/>
        <v>0</v>
      </c>
      <c r="AR5" s="11">
        <f t="shared" si="8"/>
        <v>0</v>
      </c>
      <c r="AS5" s="11">
        <f t="shared" si="9"/>
        <v>0</v>
      </c>
      <c r="AT5" s="11">
        <f t="shared" si="10"/>
        <v>0</v>
      </c>
      <c r="AU5" s="11">
        <f t="shared" ref="AU5:AU13" si="11">SUM(AJ5:AT5)</f>
        <v>0</v>
      </c>
    </row>
    <row r="6" spans="2:47" x14ac:dyDescent="0.35">
      <c r="B6" s="4" t="s">
        <v>35</v>
      </c>
      <c r="C6" s="4" t="s">
        <v>45</v>
      </c>
      <c r="D6" s="9"/>
      <c r="E6" s="9"/>
      <c r="F6" s="9"/>
      <c r="G6" s="9"/>
      <c r="H6" s="9"/>
      <c r="I6" s="9"/>
      <c r="J6" s="9"/>
      <c r="K6" s="7"/>
      <c r="L6" s="7"/>
      <c r="M6" s="7"/>
      <c r="N6" s="9"/>
      <c r="O6" s="9"/>
      <c r="P6" s="7"/>
      <c r="Q6" s="7"/>
      <c r="R6" s="9"/>
      <c r="S6" s="7"/>
      <c r="T6" s="7"/>
      <c r="U6" s="9"/>
      <c r="V6" s="9"/>
      <c r="W6" s="7"/>
      <c r="X6" s="7"/>
      <c r="Y6" s="8"/>
      <c r="Z6" s="8"/>
      <c r="AA6" s="8"/>
      <c r="AB6" s="8"/>
      <c r="AC6" s="9"/>
      <c r="AD6" s="7"/>
      <c r="AE6" s="8"/>
      <c r="AF6" s="8"/>
      <c r="AG6" s="8"/>
      <c r="AH6" s="8"/>
      <c r="AI6" s="8"/>
      <c r="AJ6" s="11">
        <f t="shared" si="0"/>
        <v>0</v>
      </c>
      <c r="AK6" s="11">
        <f t="shared" si="1"/>
        <v>0</v>
      </c>
      <c r="AL6" s="11">
        <f t="shared" si="2"/>
        <v>0</v>
      </c>
      <c r="AM6" s="11">
        <f t="shared" si="3"/>
        <v>0</v>
      </c>
      <c r="AN6" s="11">
        <f t="shared" si="4"/>
        <v>0</v>
      </c>
      <c r="AO6" s="11">
        <f t="shared" si="5"/>
        <v>0</v>
      </c>
      <c r="AP6" s="11">
        <f t="shared" si="6"/>
        <v>0</v>
      </c>
      <c r="AQ6" s="11">
        <f t="shared" si="7"/>
        <v>0</v>
      </c>
      <c r="AR6" s="11">
        <f t="shared" si="8"/>
        <v>0</v>
      </c>
      <c r="AS6" s="11">
        <f t="shared" si="9"/>
        <v>0</v>
      </c>
      <c r="AT6" s="11">
        <f t="shared" si="10"/>
        <v>0</v>
      </c>
      <c r="AU6" s="11">
        <f t="shared" si="11"/>
        <v>0</v>
      </c>
    </row>
    <row r="7" spans="2:47" x14ac:dyDescent="0.35">
      <c r="B7" s="4" t="s">
        <v>36</v>
      </c>
      <c r="C7" s="4" t="s">
        <v>46</v>
      </c>
      <c r="D7" s="9"/>
      <c r="E7" s="9"/>
      <c r="F7" s="9"/>
      <c r="G7" s="9"/>
      <c r="H7" s="9"/>
      <c r="I7" s="9"/>
      <c r="J7" s="9"/>
      <c r="K7" s="7"/>
      <c r="L7" s="7"/>
      <c r="M7" s="7"/>
      <c r="N7" s="9"/>
      <c r="O7" s="9"/>
      <c r="P7" s="7"/>
      <c r="Q7" s="7"/>
      <c r="R7" s="9"/>
      <c r="S7" s="7"/>
      <c r="T7" s="7"/>
      <c r="U7" s="9"/>
      <c r="V7" s="9"/>
      <c r="W7" s="7"/>
      <c r="X7" s="7"/>
      <c r="Y7" s="8"/>
      <c r="Z7" s="8"/>
      <c r="AA7" s="8"/>
      <c r="AB7" s="8"/>
      <c r="AC7" s="9"/>
      <c r="AD7" s="7"/>
      <c r="AE7" s="8"/>
      <c r="AF7" s="8"/>
      <c r="AG7" s="8"/>
      <c r="AH7" s="8"/>
      <c r="AI7" s="8"/>
      <c r="AJ7" s="11">
        <f t="shared" si="0"/>
        <v>0</v>
      </c>
      <c r="AK7" s="11">
        <f t="shared" si="1"/>
        <v>0</v>
      </c>
      <c r="AL7" s="11">
        <f t="shared" si="2"/>
        <v>0</v>
      </c>
      <c r="AM7" s="11">
        <f t="shared" si="3"/>
        <v>0</v>
      </c>
      <c r="AN7" s="11">
        <f t="shared" si="4"/>
        <v>0</v>
      </c>
      <c r="AO7" s="11">
        <f t="shared" si="5"/>
        <v>0</v>
      </c>
      <c r="AP7" s="11">
        <f t="shared" si="6"/>
        <v>0</v>
      </c>
      <c r="AQ7" s="11">
        <f t="shared" si="7"/>
        <v>0</v>
      </c>
      <c r="AR7" s="11">
        <f t="shared" si="8"/>
        <v>0</v>
      </c>
      <c r="AS7" s="11">
        <f t="shared" si="9"/>
        <v>0</v>
      </c>
      <c r="AT7" s="11">
        <f t="shared" si="10"/>
        <v>0</v>
      </c>
      <c r="AU7" s="11">
        <f t="shared" si="11"/>
        <v>0</v>
      </c>
    </row>
    <row r="8" spans="2:47" x14ac:dyDescent="0.35">
      <c r="B8" s="4" t="s">
        <v>37</v>
      </c>
      <c r="C8" s="4" t="s">
        <v>47</v>
      </c>
      <c r="D8" s="9"/>
      <c r="E8" s="9"/>
      <c r="F8" s="9"/>
      <c r="G8" s="9"/>
      <c r="H8" s="9"/>
      <c r="I8" s="9"/>
      <c r="J8" s="9"/>
      <c r="K8" s="7"/>
      <c r="L8" s="7"/>
      <c r="M8" s="7"/>
      <c r="N8" s="9"/>
      <c r="O8" s="9"/>
      <c r="P8" s="7"/>
      <c r="Q8" s="7"/>
      <c r="R8" s="9"/>
      <c r="S8" s="7"/>
      <c r="T8" s="7"/>
      <c r="U8" s="9"/>
      <c r="V8" s="9"/>
      <c r="W8" s="7"/>
      <c r="X8" s="7"/>
      <c r="Y8" s="8"/>
      <c r="Z8" s="8"/>
      <c r="AA8" s="8"/>
      <c r="AB8" s="8"/>
      <c r="AC8" s="9"/>
      <c r="AD8" s="7"/>
      <c r="AE8" s="8"/>
      <c r="AF8" s="8"/>
      <c r="AG8" s="8"/>
      <c r="AH8" s="8"/>
      <c r="AI8" s="8"/>
      <c r="AJ8" s="11">
        <f t="shared" si="0"/>
        <v>0</v>
      </c>
      <c r="AK8" s="11">
        <f t="shared" si="1"/>
        <v>0</v>
      </c>
      <c r="AL8" s="11">
        <f t="shared" si="2"/>
        <v>0</v>
      </c>
      <c r="AM8" s="11">
        <f t="shared" si="3"/>
        <v>0</v>
      </c>
      <c r="AN8" s="11">
        <f t="shared" si="4"/>
        <v>0</v>
      </c>
      <c r="AO8" s="11">
        <f t="shared" si="5"/>
        <v>0</v>
      </c>
      <c r="AP8" s="11">
        <f t="shared" si="6"/>
        <v>0</v>
      </c>
      <c r="AQ8" s="11">
        <f t="shared" si="7"/>
        <v>0</v>
      </c>
      <c r="AR8" s="11">
        <f t="shared" si="8"/>
        <v>0</v>
      </c>
      <c r="AS8" s="11">
        <f t="shared" si="9"/>
        <v>0</v>
      </c>
      <c r="AT8" s="11">
        <f t="shared" si="10"/>
        <v>0</v>
      </c>
      <c r="AU8" s="11">
        <f t="shared" si="11"/>
        <v>0</v>
      </c>
    </row>
    <row r="9" spans="2:47" x14ac:dyDescent="0.35">
      <c r="B9" s="4" t="s">
        <v>38</v>
      </c>
      <c r="C9" s="4" t="s">
        <v>48</v>
      </c>
      <c r="D9" s="9"/>
      <c r="E9" s="9"/>
      <c r="F9" s="9"/>
      <c r="G9" s="9"/>
      <c r="H9" s="9"/>
      <c r="I9" s="9"/>
      <c r="J9" s="9"/>
      <c r="K9" s="7"/>
      <c r="L9" s="7"/>
      <c r="M9" s="7"/>
      <c r="N9" s="9"/>
      <c r="O9" s="9"/>
      <c r="P9" s="7"/>
      <c r="Q9" s="7"/>
      <c r="R9" s="9"/>
      <c r="S9" s="7"/>
      <c r="T9" s="7"/>
      <c r="U9" s="9"/>
      <c r="V9" s="9"/>
      <c r="W9" s="7"/>
      <c r="X9" s="7"/>
      <c r="Y9" s="8"/>
      <c r="Z9" s="8"/>
      <c r="AA9" s="8"/>
      <c r="AB9" s="8"/>
      <c r="AC9" s="9"/>
      <c r="AD9" s="7"/>
      <c r="AE9" s="8"/>
      <c r="AF9" s="8"/>
      <c r="AG9" s="8"/>
      <c r="AH9" s="8"/>
      <c r="AI9" s="8"/>
      <c r="AJ9" s="11">
        <f t="shared" si="0"/>
        <v>0</v>
      </c>
      <c r="AK9" s="11">
        <f t="shared" si="1"/>
        <v>0</v>
      </c>
      <c r="AL9" s="11">
        <f t="shared" si="2"/>
        <v>0</v>
      </c>
      <c r="AM9" s="11">
        <f t="shared" si="3"/>
        <v>0</v>
      </c>
      <c r="AN9" s="11">
        <f t="shared" si="4"/>
        <v>0</v>
      </c>
      <c r="AO9" s="11">
        <f t="shared" si="5"/>
        <v>0</v>
      </c>
      <c r="AP9" s="11">
        <f t="shared" si="6"/>
        <v>0</v>
      </c>
      <c r="AQ9" s="11">
        <f t="shared" si="7"/>
        <v>0</v>
      </c>
      <c r="AR9" s="11">
        <f t="shared" si="8"/>
        <v>0</v>
      </c>
      <c r="AS9" s="11">
        <f t="shared" si="9"/>
        <v>0</v>
      </c>
      <c r="AT9" s="11">
        <f t="shared" si="10"/>
        <v>0</v>
      </c>
      <c r="AU9" s="11">
        <f t="shared" si="11"/>
        <v>0</v>
      </c>
    </row>
    <row r="10" spans="2:47" x14ac:dyDescent="0.35">
      <c r="B10" s="4" t="s">
        <v>39</v>
      </c>
      <c r="C10" s="4" t="s">
        <v>49</v>
      </c>
      <c r="D10" s="9"/>
      <c r="E10" s="9"/>
      <c r="F10" s="9"/>
      <c r="G10" s="9"/>
      <c r="H10" s="9"/>
      <c r="I10" s="9"/>
      <c r="J10" s="9"/>
      <c r="K10" s="7"/>
      <c r="L10" s="7"/>
      <c r="M10" s="7"/>
      <c r="N10" s="9"/>
      <c r="O10" s="9"/>
      <c r="P10" s="7"/>
      <c r="Q10" s="7"/>
      <c r="R10" s="9"/>
      <c r="S10" s="7"/>
      <c r="T10" s="7"/>
      <c r="U10" s="9"/>
      <c r="V10" s="9"/>
      <c r="W10" s="7"/>
      <c r="X10" s="7"/>
      <c r="Y10" s="8"/>
      <c r="Z10" s="8"/>
      <c r="AA10" s="8"/>
      <c r="AB10" s="8"/>
      <c r="AC10" s="9"/>
      <c r="AD10" s="7"/>
      <c r="AE10" s="8"/>
      <c r="AF10" s="8"/>
      <c r="AG10" s="8"/>
      <c r="AH10" s="8"/>
      <c r="AI10" s="8"/>
      <c r="AJ10" s="11">
        <f t="shared" si="0"/>
        <v>0</v>
      </c>
      <c r="AK10" s="11">
        <f t="shared" si="1"/>
        <v>0</v>
      </c>
      <c r="AL10" s="11">
        <f t="shared" si="2"/>
        <v>0</v>
      </c>
      <c r="AM10" s="11">
        <f t="shared" si="3"/>
        <v>0</v>
      </c>
      <c r="AN10" s="11">
        <f t="shared" si="4"/>
        <v>0</v>
      </c>
      <c r="AO10" s="11">
        <f t="shared" si="5"/>
        <v>0</v>
      </c>
      <c r="AP10" s="11">
        <f t="shared" si="6"/>
        <v>0</v>
      </c>
      <c r="AQ10" s="11">
        <f t="shared" si="7"/>
        <v>0</v>
      </c>
      <c r="AR10" s="11">
        <f t="shared" si="8"/>
        <v>0</v>
      </c>
      <c r="AS10" s="11">
        <f t="shared" si="9"/>
        <v>0</v>
      </c>
      <c r="AT10" s="11">
        <f t="shared" si="10"/>
        <v>0</v>
      </c>
      <c r="AU10" s="11">
        <f t="shared" si="11"/>
        <v>0</v>
      </c>
    </row>
    <row r="11" spans="2:47" x14ac:dyDescent="0.35">
      <c r="B11" s="4" t="s">
        <v>40</v>
      </c>
      <c r="C11" s="4" t="s">
        <v>50</v>
      </c>
      <c r="D11" s="9"/>
      <c r="E11" s="9"/>
      <c r="F11" s="9"/>
      <c r="G11" s="9"/>
      <c r="H11" s="9"/>
      <c r="I11" s="9"/>
      <c r="J11" s="9"/>
      <c r="K11" s="7"/>
      <c r="L11" s="7"/>
      <c r="M11" s="7"/>
      <c r="N11" s="9"/>
      <c r="O11" s="9"/>
      <c r="P11" s="7"/>
      <c r="Q11" s="7"/>
      <c r="R11" s="9"/>
      <c r="S11" s="7"/>
      <c r="T11" s="7"/>
      <c r="U11" s="9"/>
      <c r="V11" s="9"/>
      <c r="W11" s="7"/>
      <c r="X11" s="7"/>
      <c r="Y11" s="8"/>
      <c r="Z11" s="8"/>
      <c r="AA11" s="8"/>
      <c r="AB11" s="8"/>
      <c r="AC11" s="9"/>
      <c r="AD11" s="7"/>
      <c r="AE11" s="8"/>
      <c r="AF11" s="8"/>
      <c r="AG11" s="8"/>
      <c r="AH11" s="8"/>
      <c r="AI11" s="8"/>
      <c r="AJ11" s="11">
        <f t="shared" si="0"/>
        <v>0</v>
      </c>
      <c r="AK11" s="11">
        <f t="shared" si="1"/>
        <v>0</v>
      </c>
      <c r="AL11" s="11">
        <f t="shared" si="2"/>
        <v>0</v>
      </c>
      <c r="AM11" s="11">
        <f t="shared" si="3"/>
        <v>0</v>
      </c>
      <c r="AN11" s="11">
        <f t="shared" si="4"/>
        <v>0</v>
      </c>
      <c r="AO11" s="11">
        <f t="shared" si="5"/>
        <v>0</v>
      </c>
      <c r="AP11" s="11">
        <f t="shared" si="6"/>
        <v>0</v>
      </c>
      <c r="AQ11" s="11">
        <f t="shared" si="7"/>
        <v>0</v>
      </c>
      <c r="AR11" s="11">
        <f t="shared" si="8"/>
        <v>0</v>
      </c>
      <c r="AS11" s="11">
        <f t="shared" si="9"/>
        <v>0</v>
      </c>
      <c r="AT11" s="11">
        <f t="shared" si="10"/>
        <v>0</v>
      </c>
      <c r="AU11" s="11">
        <f t="shared" si="11"/>
        <v>0</v>
      </c>
    </row>
    <row r="12" spans="2:47" x14ac:dyDescent="0.35">
      <c r="B12" s="4" t="s">
        <v>41</v>
      </c>
      <c r="C12" s="4" t="s">
        <v>51</v>
      </c>
      <c r="D12" s="9"/>
      <c r="E12" s="9"/>
      <c r="F12" s="9"/>
      <c r="G12" s="9"/>
      <c r="H12" s="9"/>
      <c r="I12" s="9"/>
      <c r="J12" s="9"/>
      <c r="K12" s="7"/>
      <c r="L12" s="7"/>
      <c r="M12" s="7"/>
      <c r="N12" s="9"/>
      <c r="O12" s="9"/>
      <c r="P12" s="7"/>
      <c r="Q12" s="7"/>
      <c r="R12" s="9"/>
      <c r="S12" s="7"/>
      <c r="T12" s="7"/>
      <c r="U12" s="9"/>
      <c r="V12" s="9"/>
      <c r="W12" s="7"/>
      <c r="X12" s="7"/>
      <c r="Y12" s="8"/>
      <c r="Z12" s="8"/>
      <c r="AA12" s="8"/>
      <c r="AB12" s="8"/>
      <c r="AC12" s="9"/>
      <c r="AD12" s="7"/>
      <c r="AE12" s="8"/>
      <c r="AF12" s="8"/>
      <c r="AG12" s="8"/>
      <c r="AH12" s="8"/>
      <c r="AI12" s="8"/>
      <c r="AJ12" s="11">
        <f t="shared" si="0"/>
        <v>0</v>
      </c>
      <c r="AK12" s="11">
        <f t="shared" si="1"/>
        <v>0</v>
      </c>
      <c r="AL12" s="11">
        <f t="shared" si="2"/>
        <v>0</v>
      </c>
      <c r="AM12" s="11">
        <f t="shared" si="3"/>
        <v>0</v>
      </c>
      <c r="AN12" s="11">
        <f t="shared" si="4"/>
        <v>0</v>
      </c>
      <c r="AO12" s="11">
        <f t="shared" si="5"/>
        <v>0</v>
      </c>
      <c r="AP12" s="11">
        <f t="shared" si="6"/>
        <v>0</v>
      </c>
      <c r="AQ12" s="11">
        <f t="shared" si="7"/>
        <v>0</v>
      </c>
      <c r="AR12" s="11">
        <f t="shared" si="8"/>
        <v>0</v>
      </c>
      <c r="AS12" s="11">
        <f t="shared" si="9"/>
        <v>0</v>
      </c>
      <c r="AT12" s="11">
        <f t="shared" si="10"/>
        <v>0</v>
      </c>
      <c r="AU12" s="11">
        <f t="shared" si="11"/>
        <v>0</v>
      </c>
    </row>
    <row r="13" spans="2:47" x14ac:dyDescent="0.35">
      <c r="B13" s="4" t="s">
        <v>42</v>
      </c>
      <c r="C13" s="4" t="s">
        <v>52</v>
      </c>
      <c r="D13" s="9"/>
      <c r="E13" s="9"/>
      <c r="F13" s="9"/>
      <c r="G13" s="9"/>
      <c r="H13" s="9"/>
      <c r="I13" s="9"/>
      <c r="J13" s="9"/>
      <c r="K13" s="7"/>
      <c r="L13" s="7"/>
      <c r="M13" s="7"/>
      <c r="N13" s="9"/>
      <c r="O13" s="9"/>
      <c r="P13" s="7"/>
      <c r="Q13" s="7"/>
      <c r="R13" s="9"/>
      <c r="S13" s="7"/>
      <c r="T13" s="7"/>
      <c r="U13" s="9"/>
      <c r="V13" s="9"/>
      <c r="W13" s="7"/>
      <c r="X13" s="7"/>
      <c r="Y13" s="8"/>
      <c r="Z13" s="8"/>
      <c r="AA13" s="8"/>
      <c r="AB13" s="8"/>
      <c r="AC13" s="9"/>
      <c r="AD13" s="7"/>
      <c r="AE13" s="8"/>
      <c r="AF13" s="8"/>
      <c r="AG13" s="8"/>
      <c r="AH13" s="8"/>
      <c r="AI13" s="8"/>
      <c r="AJ13" s="11">
        <f t="shared" si="0"/>
        <v>0</v>
      </c>
      <c r="AK13" s="11">
        <f t="shared" si="1"/>
        <v>0</v>
      </c>
      <c r="AL13" s="11">
        <f t="shared" si="2"/>
        <v>0</v>
      </c>
      <c r="AM13" s="11">
        <f t="shared" si="3"/>
        <v>0</v>
      </c>
      <c r="AN13" s="11">
        <f t="shared" si="4"/>
        <v>0</v>
      </c>
      <c r="AO13" s="11">
        <f t="shared" si="5"/>
        <v>0</v>
      </c>
      <c r="AP13" s="11">
        <f t="shared" si="6"/>
        <v>0</v>
      </c>
      <c r="AQ13" s="11">
        <f t="shared" si="7"/>
        <v>0</v>
      </c>
      <c r="AR13" s="11">
        <f t="shared" si="8"/>
        <v>0</v>
      </c>
      <c r="AS13" s="11">
        <f t="shared" si="9"/>
        <v>0</v>
      </c>
      <c r="AT13" s="11">
        <f t="shared" si="10"/>
        <v>0</v>
      </c>
      <c r="AU13" s="11">
        <f t="shared" si="11"/>
        <v>0</v>
      </c>
    </row>
  </sheetData>
  <phoneticPr fontId="3" type="noConversion"/>
  <conditionalFormatting sqref="C4:AI13">
    <cfRule type="containsText" dxfId="63" priority="9" operator="containsText" text="SL">
      <formula>NOT(ISERROR(SEARCH("SL",C4)))</formula>
    </cfRule>
  </conditionalFormatting>
  <conditionalFormatting sqref="D4:L5">
    <cfRule type="beginsWith" dxfId="62" priority="4" operator="beginsWith" text="H">
      <formula>LEFT(D4,LEN("H"))="H"</formula>
    </cfRule>
  </conditionalFormatting>
  <conditionalFormatting sqref="D3:AI13">
    <cfRule type="containsText" dxfId="61" priority="7" operator="containsText" text="TR">
      <formula>NOT(ISERROR(SEARCH("TR",D3)))</formula>
    </cfRule>
  </conditionalFormatting>
  <conditionalFormatting sqref="D4:AI13">
    <cfRule type="containsText" dxfId="60" priority="1" operator="containsText" text="ML">
      <formula>NOT(ISERROR(SEARCH("ML",D4)))</formula>
    </cfRule>
    <cfRule type="beginsWith" dxfId="59" priority="2" operator="beginsWith" text="AB">
      <formula>LEFT(D4,LEN("AB"))="AB"</formula>
    </cfRule>
    <cfRule type="beginsWith" dxfId="58" priority="3" operator="beginsWith" text="H">
      <formula>LEFT(D4,LEN("H"))="H"</formula>
    </cfRule>
    <cfRule type="containsText" dxfId="57" priority="5" operator="containsText" text="PL">
      <formula>NOT(ISERROR(SEARCH("PL",D4)))</formula>
    </cfRule>
    <cfRule type="containsText" dxfId="56" priority="6" operator="containsText" text="WFH">
      <formula>NOT(ISERROR(SEARCH("WFH",D4)))</formula>
    </cfRule>
  </conditionalFormatting>
  <conditionalFormatting sqref="D4:AU13">
    <cfRule type="containsText" dxfId="55" priority="10" operator="containsText" text="AL">
      <formula>NOT(ISERROR(SEARCH("AL",D4)))</formula>
    </cfRule>
    <cfRule type="containsText" dxfId="54" priority="11" operator="containsText" text="P">
      <formula>NOT(ISERROR(SEARCH("P",D4)))</formula>
    </cfRule>
  </conditionalFormatting>
  <dataValidations count="1">
    <dataValidation type="list" allowBlank="1" showInputMessage="1" showErrorMessage="1" sqref="D4:AI13" xr:uid="{2B351342-4F7B-4DF9-A248-9595ADCFF239}">
      <formula1>$AJ$3:$AT$3</formula1>
    </dataValidation>
  </dataValidations>
  <pageMargins left="0.7" right="0.7" top="0.75" bottom="0.75" header="0.3" footer="0.3"/>
  <pageSetup paperSize="9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FEE98-89E8-4737-BE49-20E5831DDBC4}">
  <sheetPr codeName="Sheet12"/>
  <dimension ref="B2:AU13"/>
  <sheetViews>
    <sheetView zoomScaleNormal="100" workbookViewId="0">
      <pane xSplit="3" ySplit="3" topLeftCell="D4" activePane="bottomRight" state="frozen"/>
      <selection pane="topRight" activeCell="D1" sqref="D1"/>
      <selection pane="bottomLeft" activeCell="A3" sqref="A3"/>
      <selection pane="bottomRight" activeCell="G11" sqref="G11"/>
    </sheetView>
  </sheetViews>
  <sheetFormatPr defaultRowHeight="14.5" x14ac:dyDescent="0.35"/>
  <cols>
    <col min="1" max="1" width="3.81640625" customWidth="1"/>
    <col min="2" max="2" width="21.1796875" bestFit="1" customWidth="1"/>
    <col min="3" max="3" width="9.81640625" bestFit="1" customWidth="1"/>
    <col min="4" max="4" width="5.1796875" customWidth="1"/>
    <col min="5" max="5" width="5.7265625" customWidth="1"/>
    <col min="6" max="6" width="5.81640625" customWidth="1"/>
    <col min="7" max="7" width="5.7265625" customWidth="1"/>
    <col min="8" max="8" width="5.54296875" customWidth="1"/>
    <col min="9" max="9" width="5.7265625" customWidth="1"/>
    <col min="10" max="10" width="5.81640625" customWidth="1"/>
    <col min="11" max="11" width="5.7265625" customWidth="1"/>
    <col min="12" max="12" width="6" customWidth="1"/>
    <col min="13" max="13" width="6.1796875" customWidth="1"/>
    <col min="14" max="14" width="5.81640625" customWidth="1"/>
    <col min="15" max="15" width="6" customWidth="1"/>
    <col min="16" max="16" width="5.81640625" customWidth="1"/>
    <col min="17" max="17" width="6.1796875" customWidth="1"/>
    <col min="18" max="18" width="5.7265625" customWidth="1"/>
    <col min="19" max="19" width="6.1796875" customWidth="1"/>
    <col min="20" max="21" width="5.81640625" customWidth="1"/>
    <col min="22" max="22" width="6" customWidth="1"/>
    <col min="23" max="23" width="5.453125" customWidth="1"/>
    <col min="24" max="24" width="5.7265625" customWidth="1"/>
    <col min="25" max="25" width="5.81640625" customWidth="1"/>
    <col min="26" max="26" width="5.54296875" customWidth="1"/>
    <col min="27" max="30" width="5.26953125" customWidth="1"/>
    <col min="31" max="31" width="5.7265625" customWidth="1"/>
    <col min="32" max="34" width="5.81640625" customWidth="1"/>
    <col min="35" max="35" width="5.26953125" customWidth="1"/>
    <col min="36" max="36" width="4.81640625" customWidth="1"/>
    <col min="37" max="44" width="4.81640625" bestFit="1" customWidth="1"/>
    <col min="45" max="45" width="5" bestFit="1" customWidth="1"/>
    <col min="46" max="47" width="4.81640625" bestFit="1" customWidth="1"/>
  </cols>
  <sheetData>
    <row r="2" spans="2:47" ht="57.65" customHeight="1" x14ac:dyDescent="0.35">
      <c r="B2" s="13" t="s">
        <v>0</v>
      </c>
      <c r="C2" s="58">
        <v>45809</v>
      </c>
      <c r="D2" s="2">
        <v>45809</v>
      </c>
      <c r="E2" s="2">
        <v>45810</v>
      </c>
      <c r="F2" s="2">
        <v>45811</v>
      </c>
      <c r="G2" s="2">
        <v>45812</v>
      </c>
      <c r="H2" s="2">
        <v>45813</v>
      </c>
      <c r="I2" s="2">
        <v>45814</v>
      </c>
      <c r="J2" s="2">
        <v>45815</v>
      </c>
      <c r="K2" s="2">
        <v>45816</v>
      </c>
      <c r="L2" s="2">
        <v>45817</v>
      </c>
      <c r="M2" s="2">
        <v>45818</v>
      </c>
      <c r="N2" s="2">
        <v>45819</v>
      </c>
      <c r="O2" s="2">
        <v>45820</v>
      </c>
      <c r="P2" s="2">
        <v>45821</v>
      </c>
      <c r="Q2" s="2">
        <v>45822</v>
      </c>
      <c r="R2" s="2">
        <v>45823</v>
      </c>
      <c r="S2" s="2">
        <v>45824</v>
      </c>
      <c r="T2" s="2">
        <v>45825</v>
      </c>
      <c r="U2" s="2">
        <v>45826</v>
      </c>
      <c r="V2" s="2">
        <v>45827</v>
      </c>
      <c r="W2" s="2">
        <v>45828</v>
      </c>
      <c r="X2" s="2">
        <v>45829</v>
      </c>
      <c r="Y2" s="2">
        <v>45830</v>
      </c>
      <c r="Z2" s="2">
        <v>45831</v>
      </c>
      <c r="AA2" s="2">
        <v>45832</v>
      </c>
      <c r="AB2" s="2">
        <v>45833</v>
      </c>
      <c r="AC2" s="2">
        <v>45834</v>
      </c>
      <c r="AD2" s="2">
        <v>45835</v>
      </c>
      <c r="AE2" s="2">
        <v>45836</v>
      </c>
      <c r="AF2" s="2">
        <v>45837</v>
      </c>
      <c r="AG2" s="2">
        <v>45838</v>
      </c>
      <c r="AH2" s="2"/>
      <c r="AI2" s="2"/>
      <c r="AJ2" s="12" t="s">
        <v>1</v>
      </c>
      <c r="AK2" s="12" t="s">
        <v>2</v>
      </c>
      <c r="AL2" s="12" t="s">
        <v>3</v>
      </c>
      <c r="AM2" s="12" t="s">
        <v>4</v>
      </c>
      <c r="AN2" s="12" t="s">
        <v>5</v>
      </c>
      <c r="AO2" s="12" t="s">
        <v>6</v>
      </c>
      <c r="AP2" s="12" t="s">
        <v>7</v>
      </c>
      <c r="AQ2" s="12" t="s">
        <v>8</v>
      </c>
      <c r="AR2" s="12" t="s">
        <v>9</v>
      </c>
      <c r="AS2" s="12" t="s">
        <v>10</v>
      </c>
      <c r="AT2" s="12" t="s">
        <v>11</v>
      </c>
      <c r="AU2" s="12" t="s">
        <v>12</v>
      </c>
    </row>
    <row r="3" spans="2:47" ht="32.25" customHeight="1" x14ac:dyDescent="0.35">
      <c r="B3" s="1" t="s">
        <v>13</v>
      </c>
      <c r="C3" s="1" t="s">
        <v>14</v>
      </c>
      <c r="D3" s="3" t="s">
        <v>21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  <c r="S3" s="3" t="s">
        <v>15</v>
      </c>
      <c r="T3" s="3" t="s">
        <v>16</v>
      </c>
      <c r="U3" s="3" t="s">
        <v>17</v>
      </c>
      <c r="V3" s="3" t="s">
        <v>18</v>
      </c>
      <c r="W3" s="3" t="s">
        <v>19</v>
      </c>
      <c r="X3" s="3" t="s">
        <v>20</v>
      </c>
      <c r="Y3" s="3" t="s">
        <v>21</v>
      </c>
      <c r="Z3" s="3" t="s">
        <v>15</v>
      </c>
      <c r="AA3" s="3" t="s">
        <v>16</v>
      </c>
      <c r="AB3" s="3" t="s">
        <v>17</v>
      </c>
      <c r="AC3" s="3" t="s">
        <v>18</v>
      </c>
      <c r="AD3" s="3" t="s">
        <v>19</v>
      </c>
      <c r="AE3" s="3" t="s">
        <v>20</v>
      </c>
      <c r="AF3" s="3" t="s">
        <v>21</v>
      </c>
      <c r="AG3" s="3" t="s">
        <v>15</v>
      </c>
      <c r="AH3" s="10"/>
      <c r="AI3" s="10"/>
      <c r="AJ3" s="6" t="s">
        <v>22</v>
      </c>
      <c r="AK3" s="6" t="s">
        <v>53</v>
      </c>
      <c r="AL3" s="6" t="s">
        <v>91</v>
      </c>
      <c r="AM3" s="6" t="s">
        <v>25</v>
      </c>
      <c r="AN3" s="6" t="s">
        <v>26</v>
      </c>
      <c r="AO3" s="6" t="s">
        <v>27</v>
      </c>
      <c r="AP3" s="6" t="s">
        <v>28</v>
      </c>
      <c r="AQ3" s="6" t="s">
        <v>29</v>
      </c>
      <c r="AR3" s="6" t="s">
        <v>30</v>
      </c>
      <c r="AS3" s="6" t="s">
        <v>92</v>
      </c>
      <c r="AT3" s="6" t="s">
        <v>32</v>
      </c>
      <c r="AU3" s="6"/>
    </row>
    <row r="4" spans="2:47" x14ac:dyDescent="0.35">
      <c r="B4" s="4" t="s">
        <v>33</v>
      </c>
      <c r="C4" s="5" t="s">
        <v>43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8"/>
      <c r="AB4" s="8"/>
      <c r="AC4" s="8"/>
      <c r="AD4" s="8"/>
      <c r="AE4" s="7"/>
      <c r="AF4" s="7"/>
      <c r="AG4" s="8"/>
      <c r="AH4" s="8"/>
      <c r="AI4" s="8"/>
      <c r="AJ4" s="11">
        <f t="shared" ref="AJ4:AJ13" si="0">COUNTIF(C4:AI4,"P")</f>
        <v>0</v>
      </c>
      <c r="AK4" s="11">
        <f t="shared" ref="AK4:AK13" si="1">COUNTIF(D4:AI4,"A")</f>
        <v>0</v>
      </c>
      <c r="AL4" s="11">
        <f t="shared" ref="AL4:AL13" si="2">COUNTIF(D4:AI4,"H")</f>
        <v>0</v>
      </c>
      <c r="AM4" s="11">
        <f t="shared" ref="AM4:AM13" si="3">COUNTIF(D4:AI4,"TR")</f>
        <v>0</v>
      </c>
      <c r="AN4" s="11">
        <f t="shared" ref="AN4:AN13" si="4">COUNTIF(D4:AI4,"CL")</f>
        <v>0</v>
      </c>
      <c r="AO4" s="11">
        <f t="shared" ref="AO4:AO13" si="5">COUNTIF(D4:AI4,"SL")</f>
        <v>0</v>
      </c>
      <c r="AP4" s="11">
        <f t="shared" ref="AP4:AP13" si="6">COUNTIF(D4:AI4,"AL")</f>
        <v>0</v>
      </c>
      <c r="AQ4" s="11">
        <f t="shared" ref="AQ4:AQ13" si="7">COUNTIF(D4:AI4,"ML")</f>
        <v>0</v>
      </c>
      <c r="AR4" s="11">
        <f t="shared" ref="AR4:AR13" si="8">COUNTIF(D4:AI4,"PL")</f>
        <v>0</v>
      </c>
      <c r="AS4" s="11">
        <f t="shared" ref="AS4:AS13" si="9">COUNTIF(D4:AI4,"WFH")</f>
        <v>0</v>
      </c>
      <c r="AT4" s="11">
        <f t="shared" ref="AT4:AT13" si="10">COUNTIF(D4:AI4,"NH")</f>
        <v>0</v>
      </c>
      <c r="AU4" s="59">
        <f>SUM(AJ4:AT4)</f>
        <v>0</v>
      </c>
    </row>
    <row r="5" spans="2:47" x14ac:dyDescent="0.35">
      <c r="B5" s="4" t="s">
        <v>34</v>
      </c>
      <c r="C5" s="4" t="s">
        <v>44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8"/>
      <c r="AB5" s="8"/>
      <c r="AC5" s="8"/>
      <c r="AD5" s="8"/>
      <c r="AE5" s="7"/>
      <c r="AF5" s="7"/>
      <c r="AG5" s="8"/>
      <c r="AH5" s="8"/>
      <c r="AI5" s="8"/>
      <c r="AJ5" s="11">
        <f t="shared" si="0"/>
        <v>0</v>
      </c>
      <c r="AK5" s="11">
        <f t="shared" si="1"/>
        <v>0</v>
      </c>
      <c r="AL5" s="11">
        <f t="shared" si="2"/>
        <v>0</v>
      </c>
      <c r="AM5" s="11">
        <f t="shared" si="3"/>
        <v>0</v>
      </c>
      <c r="AN5" s="11">
        <f t="shared" si="4"/>
        <v>0</v>
      </c>
      <c r="AO5" s="11">
        <f t="shared" si="5"/>
        <v>0</v>
      </c>
      <c r="AP5" s="11">
        <f t="shared" si="6"/>
        <v>0</v>
      </c>
      <c r="AQ5" s="11">
        <f t="shared" si="7"/>
        <v>0</v>
      </c>
      <c r="AR5" s="11">
        <f t="shared" si="8"/>
        <v>0</v>
      </c>
      <c r="AS5" s="11">
        <f t="shared" si="9"/>
        <v>0</v>
      </c>
      <c r="AT5" s="11">
        <f t="shared" si="10"/>
        <v>0</v>
      </c>
      <c r="AU5" s="59">
        <f t="shared" ref="AU5:AU13" si="11">SUM(AJ5:AT5)</f>
        <v>0</v>
      </c>
    </row>
    <row r="6" spans="2:47" x14ac:dyDescent="0.35">
      <c r="B6" s="4" t="s">
        <v>35</v>
      </c>
      <c r="C6" s="4" t="s">
        <v>45</v>
      </c>
      <c r="D6" s="9"/>
      <c r="E6" s="9"/>
      <c r="F6" s="9"/>
      <c r="G6" s="9"/>
      <c r="H6" s="9"/>
      <c r="I6" s="9"/>
      <c r="J6" s="9"/>
      <c r="K6" s="9"/>
      <c r="L6" s="9"/>
      <c r="M6" s="7"/>
      <c r="N6" s="7"/>
      <c r="O6" s="7"/>
      <c r="P6" s="9"/>
      <c r="Q6" s="9"/>
      <c r="R6" s="7"/>
      <c r="S6" s="7"/>
      <c r="T6" s="9"/>
      <c r="U6" s="7"/>
      <c r="V6" s="7"/>
      <c r="W6" s="9"/>
      <c r="X6" s="9"/>
      <c r="Y6" s="7"/>
      <c r="Z6" s="7"/>
      <c r="AA6" s="8"/>
      <c r="AB6" s="8"/>
      <c r="AC6" s="8"/>
      <c r="AD6" s="8"/>
      <c r="AE6" s="9"/>
      <c r="AF6" s="7"/>
      <c r="AG6" s="8"/>
      <c r="AH6" s="8"/>
      <c r="AI6" s="8"/>
      <c r="AJ6" s="11">
        <f t="shared" si="0"/>
        <v>0</v>
      </c>
      <c r="AK6" s="11">
        <f t="shared" si="1"/>
        <v>0</v>
      </c>
      <c r="AL6" s="11">
        <f t="shared" si="2"/>
        <v>0</v>
      </c>
      <c r="AM6" s="11">
        <f t="shared" si="3"/>
        <v>0</v>
      </c>
      <c r="AN6" s="11">
        <f t="shared" si="4"/>
        <v>0</v>
      </c>
      <c r="AO6" s="11">
        <f t="shared" si="5"/>
        <v>0</v>
      </c>
      <c r="AP6" s="11">
        <f t="shared" si="6"/>
        <v>0</v>
      </c>
      <c r="AQ6" s="11">
        <f t="shared" si="7"/>
        <v>0</v>
      </c>
      <c r="AR6" s="11">
        <f t="shared" si="8"/>
        <v>0</v>
      </c>
      <c r="AS6" s="11">
        <f t="shared" si="9"/>
        <v>0</v>
      </c>
      <c r="AT6" s="11">
        <f t="shared" si="10"/>
        <v>0</v>
      </c>
      <c r="AU6" s="59">
        <f t="shared" si="11"/>
        <v>0</v>
      </c>
    </row>
    <row r="7" spans="2:47" x14ac:dyDescent="0.35">
      <c r="B7" s="4" t="s">
        <v>36</v>
      </c>
      <c r="C7" s="4" t="s">
        <v>46</v>
      </c>
      <c r="D7" s="9"/>
      <c r="E7" s="9"/>
      <c r="F7" s="9"/>
      <c r="G7" s="9"/>
      <c r="H7" s="9"/>
      <c r="I7" s="9"/>
      <c r="J7" s="9"/>
      <c r="K7" s="9"/>
      <c r="L7" s="9"/>
      <c r="M7" s="7"/>
      <c r="N7" s="7"/>
      <c r="O7" s="7"/>
      <c r="P7" s="9"/>
      <c r="Q7" s="9"/>
      <c r="R7" s="7"/>
      <c r="S7" s="7"/>
      <c r="T7" s="9"/>
      <c r="U7" s="7"/>
      <c r="V7" s="7"/>
      <c r="W7" s="9"/>
      <c r="X7" s="9"/>
      <c r="Y7" s="7"/>
      <c r="Z7" s="7"/>
      <c r="AA7" s="8"/>
      <c r="AB7" s="8"/>
      <c r="AC7" s="8"/>
      <c r="AD7" s="8"/>
      <c r="AE7" s="9"/>
      <c r="AF7" s="7"/>
      <c r="AG7" s="8"/>
      <c r="AH7" s="8"/>
      <c r="AI7" s="8"/>
      <c r="AJ7" s="11">
        <f t="shared" si="0"/>
        <v>0</v>
      </c>
      <c r="AK7" s="11">
        <f t="shared" si="1"/>
        <v>0</v>
      </c>
      <c r="AL7" s="11">
        <f t="shared" si="2"/>
        <v>0</v>
      </c>
      <c r="AM7" s="11">
        <f t="shared" si="3"/>
        <v>0</v>
      </c>
      <c r="AN7" s="11">
        <f t="shared" si="4"/>
        <v>0</v>
      </c>
      <c r="AO7" s="11">
        <f t="shared" si="5"/>
        <v>0</v>
      </c>
      <c r="AP7" s="11">
        <f t="shared" si="6"/>
        <v>0</v>
      </c>
      <c r="AQ7" s="11">
        <f t="shared" si="7"/>
        <v>0</v>
      </c>
      <c r="AR7" s="11">
        <f t="shared" si="8"/>
        <v>0</v>
      </c>
      <c r="AS7" s="11">
        <f t="shared" si="9"/>
        <v>0</v>
      </c>
      <c r="AT7" s="11">
        <f t="shared" si="10"/>
        <v>0</v>
      </c>
      <c r="AU7" s="59">
        <f t="shared" si="11"/>
        <v>0</v>
      </c>
    </row>
    <row r="8" spans="2:47" x14ac:dyDescent="0.35">
      <c r="B8" s="4" t="s">
        <v>37</v>
      </c>
      <c r="C8" s="4" t="s">
        <v>47</v>
      </c>
      <c r="D8" s="9"/>
      <c r="E8" s="9"/>
      <c r="F8" s="9"/>
      <c r="G8" s="9"/>
      <c r="H8" s="9"/>
      <c r="I8" s="9"/>
      <c r="J8" s="9"/>
      <c r="K8" s="9"/>
      <c r="L8" s="9"/>
      <c r="M8" s="7"/>
      <c r="N8" s="7"/>
      <c r="O8" s="7"/>
      <c r="P8" s="9"/>
      <c r="Q8" s="9"/>
      <c r="R8" s="7"/>
      <c r="S8" s="7"/>
      <c r="T8" s="9"/>
      <c r="U8" s="7"/>
      <c r="V8" s="7"/>
      <c r="W8" s="9"/>
      <c r="X8" s="9"/>
      <c r="Y8" s="7"/>
      <c r="Z8" s="7"/>
      <c r="AA8" s="8"/>
      <c r="AB8" s="8"/>
      <c r="AC8" s="8"/>
      <c r="AD8" s="8"/>
      <c r="AE8" s="9"/>
      <c r="AF8" s="7"/>
      <c r="AG8" s="8"/>
      <c r="AH8" s="8"/>
      <c r="AI8" s="8"/>
      <c r="AJ8" s="11">
        <f t="shared" si="0"/>
        <v>0</v>
      </c>
      <c r="AK8" s="11">
        <f t="shared" si="1"/>
        <v>0</v>
      </c>
      <c r="AL8" s="11">
        <f t="shared" si="2"/>
        <v>0</v>
      </c>
      <c r="AM8" s="11">
        <f t="shared" si="3"/>
        <v>0</v>
      </c>
      <c r="AN8" s="11">
        <f t="shared" si="4"/>
        <v>0</v>
      </c>
      <c r="AO8" s="11">
        <f t="shared" si="5"/>
        <v>0</v>
      </c>
      <c r="AP8" s="11">
        <f t="shared" si="6"/>
        <v>0</v>
      </c>
      <c r="AQ8" s="11">
        <f t="shared" si="7"/>
        <v>0</v>
      </c>
      <c r="AR8" s="11">
        <f t="shared" si="8"/>
        <v>0</v>
      </c>
      <c r="AS8" s="11">
        <f t="shared" si="9"/>
        <v>0</v>
      </c>
      <c r="AT8" s="11">
        <f t="shared" si="10"/>
        <v>0</v>
      </c>
      <c r="AU8" s="59">
        <f t="shared" si="11"/>
        <v>0</v>
      </c>
    </row>
    <row r="9" spans="2:47" x14ac:dyDescent="0.35">
      <c r="B9" s="4" t="s">
        <v>38</v>
      </c>
      <c r="C9" s="4" t="s">
        <v>48</v>
      </c>
      <c r="D9" s="9"/>
      <c r="E9" s="9"/>
      <c r="F9" s="9"/>
      <c r="G9" s="9"/>
      <c r="H9" s="9"/>
      <c r="I9" s="9"/>
      <c r="J9" s="9"/>
      <c r="K9" s="9"/>
      <c r="L9" s="9"/>
      <c r="M9" s="7"/>
      <c r="N9" s="7"/>
      <c r="O9" s="7"/>
      <c r="P9" s="9"/>
      <c r="Q9" s="9"/>
      <c r="R9" s="7"/>
      <c r="S9" s="7"/>
      <c r="T9" s="9"/>
      <c r="U9" s="7"/>
      <c r="V9" s="7"/>
      <c r="W9" s="9"/>
      <c r="X9" s="9"/>
      <c r="Y9" s="7"/>
      <c r="Z9" s="7"/>
      <c r="AA9" s="8"/>
      <c r="AB9" s="8"/>
      <c r="AC9" s="8"/>
      <c r="AD9" s="8"/>
      <c r="AE9" s="9"/>
      <c r="AF9" s="7"/>
      <c r="AG9" s="8"/>
      <c r="AH9" s="8"/>
      <c r="AI9" s="8"/>
      <c r="AJ9" s="11">
        <f t="shared" si="0"/>
        <v>0</v>
      </c>
      <c r="AK9" s="11">
        <f t="shared" si="1"/>
        <v>0</v>
      </c>
      <c r="AL9" s="11">
        <f t="shared" si="2"/>
        <v>0</v>
      </c>
      <c r="AM9" s="11">
        <f t="shared" si="3"/>
        <v>0</v>
      </c>
      <c r="AN9" s="11">
        <f t="shared" si="4"/>
        <v>0</v>
      </c>
      <c r="AO9" s="11">
        <f t="shared" si="5"/>
        <v>0</v>
      </c>
      <c r="AP9" s="11">
        <f t="shared" si="6"/>
        <v>0</v>
      </c>
      <c r="AQ9" s="11">
        <f t="shared" si="7"/>
        <v>0</v>
      </c>
      <c r="AR9" s="11">
        <f t="shared" si="8"/>
        <v>0</v>
      </c>
      <c r="AS9" s="11">
        <f t="shared" si="9"/>
        <v>0</v>
      </c>
      <c r="AT9" s="11">
        <f t="shared" si="10"/>
        <v>0</v>
      </c>
      <c r="AU9" s="59">
        <f t="shared" si="11"/>
        <v>0</v>
      </c>
    </row>
    <row r="10" spans="2:47" x14ac:dyDescent="0.35">
      <c r="B10" s="4" t="s">
        <v>39</v>
      </c>
      <c r="C10" s="4" t="s">
        <v>49</v>
      </c>
      <c r="D10" s="9"/>
      <c r="E10" s="9"/>
      <c r="F10" s="9"/>
      <c r="G10" s="9"/>
      <c r="H10" s="9"/>
      <c r="I10" s="9"/>
      <c r="J10" s="9"/>
      <c r="K10" s="9"/>
      <c r="L10" s="9"/>
      <c r="M10" s="7"/>
      <c r="N10" s="7"/>
      <c r="O10" s="7"/>
      <c r="P10" s="9"/>
      <c r="Q10" s="9"/>
      <c r="R10" s="7"/>
      <c r="S10" s="7"/>
      <c r="T10" s="9"/>
      <c r="U10" s="7"/>
      <c r="V10" s="7"/>
      <c r="W10" s="9"/>
      <c r="X10" s="9"/>
      <c r="Y10" s="7"/>
      <c r="Z10" s="7"/>
      <c r="AA10" s="8"/>
      <c r="AB10" s="8"/>
      <c r="AC10" s="8"/>
      <c r="AD10" s="8"/>
      <c r="AE10" s="9"/>
      <c r="AF10" s="7"/>
      <c r="AG10" s="8"/>
      <c r="AH10" s="8"/>
      <c r="AI10" s="8"/>
      <c r="AJ10" s="11">
        <f t="shared" si="0"/>
        <v>0</v>
      </c>
      <c r="AK10" s="11">
        <f t="shared" si="1"/>
        <v>0</v>
      </c>
      <c r="AL10" s="11">
        <f t="shared" si="2"/>
        <v>0</v>
      </c>
      <c r="AM10" s="11">
        <f t="shared" si="3"/>
        <v>0</v>
      </c>
      <c r="AN10" s="11">
        <f t="shared" si="4"/>
        <v>0</v>
      </c>
      <c r="AO10" s="11">
        <f t="shared" si="5"/>
        <v>0</v>
      </c>
      <c r="AP10" s="11">
        <f t="shared" si="6"/>
        <v>0</v>
      </c>
      <c r="AQ10" s="11">
        <f t="shared" si="7"/>
        <v>0</v>
      </c>
      <c r="AR10" s="11">
        <f t="shared" si="8"/>
        <v>0</v>
      </c>
      <c r="AS10" s="11">
        <f t="shared" si="9"/>
        <v>0</v>
      </c>
      <c r="AT10" s="11">
        <f t="shared" si="10"/>
        <v>0</v>
      </c>
      <c r="AU10" s="59">
        <f t="shared" si="11"/>
        <v>0</v>
      </c>
    </row>
    <row r="11" spans="2:47" x14ac:dyDescent="0.35">
      <c r="B11" s="4" t="s">
        <v>40</v>
      </c>
      <c r="C11" s="4" t="s">
        <v>50</v>
      </c>
      <c r="D11" s="9"/>
      <c r="E11" s="9"/>
      <c r="F11" s="9"/>
      <c r="G11" s="9"/>
      <c r="H11" s="9"/>
      <c r="I11" s="9"/>
      <c r="J11" s="9"/>
      <c r="K11" s="9"/>
      <c r="L11" s="9"/>
      <c r="M11" s="7"/>
      <c r="N11" s="7"/>
      <c r="O11" s="7"/>
      <c r="P11" s="9"/>
      <c r="Q11" s="9"/>
      <c r="R11" s="7"/>
      <c r="S11" s="7"/>
      <c r="T11" s="9"/>
      <c r="U11" s="7"/>
      <c r="V11" s="7"/>
      <c r="W11" s="9"/>
      <c r="X11" s="9"/>
      <c r="Y11" s="7"/>
      <c r="Z11" s="7"/>
      <c r="AA11" s="8"/>
      <c r="AB11" s="8"/>
      <c r="AC11" s="8"/>
      <c r="AD11" s="8"/>
      <c r="AE11" s="9"/>
      <c r="AF11" s="7"/>
      <c r="AG11" s="8"/>
      <c r="AH11" s="8"/>
      <c r="AI11" s="8"/>
      <c r="AJ11" s="11">
        <f t="shared" si="0"/>
        <v>0</v>
      </c>
      <c r="AK11" s="11">
        <f t="shared" si="1"/>
        <v>0</v>
      </c>
      <c r="AL11" s="11">
        <f t="shared" si="2"/>
        <v>0</v>
      </c>
      <c r="AM11" s="11">
        <f t="shared" si="3"/>
        <v>0</v>
      </c>
      <c r="AN11" s="11">
        <f t="shared" si="4"/>
        <v>0</v>
      </c>
      <c r="AO11" s="11">
        <f t="shared" si="5"/>
        <v>0</v>
      </c>
      <c r="AP11" s="11">
        <f t="shared" si="6"/>
        <v>0</v>
      </c>
      <c r="AQ11" s="11">
        <f t="shared" si="7"/>
        <v>0</v>
      </c>
      <c r="AR11" s="11">
        <f t="shared" si="8"/>
        <v>0</v>
      </c>
      <c r="AS11" s="11">
        <f t="shared" si="9"/>
        <v>0</v>
      </c>
      <c r="AT11" s="11">
        <f t="shared" si="10"/>
        <v>0</v>
      </c>
      <c r="AU11" s="59">
        <f t="shared" si="11"/>
        <v>0</v>
      </c>
    </row>
    <row r="12" spans="2:47" x14ac:dyDescent="0.35">
      <c r="B12" s="4" t="s">
        <v>41</v>
      </c>
      <c r="C12" s="4" t="s">
        <v>51</v>
      </c>
      <c r="D12" s="9"/>
      <c r="E12" s="9"/>
      <c r="F12" s="9"/>
      <c r="G12" s="9"/>
      <c r="H12" s="9"/>
      <c r="I12" s="9"/>
      <c r="J12" s="9"/>
      <c r="K12" s="9"/>
      <c r="L12" s="9"/>
      <c r="M12" s="7"/>
      <c r="N12" s="7"/>
      <c r="O12" s="7"/>
      <c r="P12" s="9"/>
      <c r="Q12" s="9"/>
      <c r="R12" s="7"/>
      <c r="S12" s="7"/>
      <c r="T12" s="9"/>
      <c r="U12" s="7"/>
      <c r="V12" s="7"/>
      <c r="W12" s="9"/>
      <c r="X12" s="9"/>
      <c r="Y12" s="7"/>
      <c r="Z12" s="7"/>
      <c r="AA12" s="8"/>
      <c r="AB12" s="8"/>
      <c r="AC12" s="8"/>
      <c r="AD12" s="8"/>
      <c r="AE12" s="9"/>
      <c r="AF12" s="7"/>
      <c r="AG12" s="8"/>
      <c r="AH12" s="8"/>
      <c r="AI12" s="8"/>
      <c r="AJ12" s="11">
        <f t="shared" si="0"/>
        <v>0</v>
      </c>
      <c r="AK12" s="11">
        <f t="shared" si="1"/>
        <v>0</v>
      </c>
      <c r="AL12" s="11">
        <f t="shared" si="2"/>
        <v>0</v>
      </c>
      <c r="AM12" s="11">
        <f t="shared" si="3"/>
        <v>0</v>
      </c>
      <c r="AN12" s="11">
        <f t="shared" si="4"/>
        <v>0</v>
      </c>
      <c r="AO12" s="11">
        <f t="shared" si="5"/>
        <v>0</v>
      </c>
      <c r="AP12" s="11">
        <f t="shared" si="6"/>
        <v>0</v>
      </c>
      <c r="AQ12" s="11">
        <f t="shared" si="7"/>
        <v>0</v>
      </c>
      <c r="AR12" s="11">
        <f t="shared" si="8"/>
        <v>0</v>
      </c>
      <c r="AS12" s="11">
        <f t="shared" si="9"/>
        <v>0</v>
      </c>
      <c r="AT12" s="11">
        <f t="shared" si="10"/>
        <v>0</v>
      </c>
      <c r="AU12" s="59">
        <f t="shared" si="11"/>
        <v>0</v>
      </c>
    </row>
    <row r="13" spans="2:47" x14ac:dyDescent="0.35">
      <c r="B13" s="4" t="s">
        <v>42</v>
      </c>
      <c r="C13" s="4" t="s">
        <v>52</v>
      </c>
      <c r="D13" s="9"/>
      <c r="E13" s="9"/>
      <c r="F13" s="9"/>
      <c r="G13" s="9"/>
      <c r="H13" s="9"/>
      <c r="I13" s="9"/>
      <c r="J13" s="9"/>
      <c r="K13" s="9"/>
      <c r="L13" s="9"/>
      <c r="M13" s="7"/>
      <c r="N13" s="7"/>
      <c r="O13" s="7"/>
      <c r="P13" s="9"/>
      <c r="Q13" s="9"/>
      <c r="R13" s="7"/>
      <c r="S13" s="7"/>
      <c r="T13" s="9"/>
      <c r="U13" s="7"/>
      <c r="V13" s="7"/>
      <c r="W13" s="9"/>
      <c r="X13" s="9"/>
      <c r="Y13" s="7"/>
      <c r="Z13" s="7"/>
      <c r="AA13" s="8"/>
      <c r="AB13" s="8"/>
      <c r="AC13" s="8"/>
      <c r="AD13" s="8"/>
      <c r="AE13" s="9"/>
      <c r="AF13" s="7"/>
      <c r="AG13" s="8"/>
      <c r="AH13" s="8"/>
      <c r="AI13" s="8"/>
      <c r="AJ13" s="11">
        <f t="shared" si="0"/>
        <v>0</v>
      </c>
      <c r="AK13" s="11">
        <f t="shared" si="1"/>
        <v>0</v>
      </c>
      <c r="AL13" s="11">
        <f t="shared" si="2"/>
        <v>0</v>
      </c>
      <c r="AM13" s="11">
        <f t="shared" si="3"/>
        <v>0</v>
      </c>
      <c r="AN13" s="11">
        <f t="shared" si="4"/>
        <v>0</v>
      </c>
      <c r="AO13" s="11">
        <f t="shared" si="5"/>
        <v>0</v>
      </c>
      <c r="AP13" s="11">
        <f t="shared" si="6"/>
        <v>0</v>
      </c>
      <c r="AQ13" s="11">
        <f t="shared" si="7"/>
        <v>0</v>
      </c>
      <c r="AR13" s="11">
        <f t="shared" si="8"/>
        <v>0</v>
      </c>
      <c r="AS13" s="11">
        <f t="shared" si="9"/>
        <v>0</v>
      </c>
      <c r="AT13" s="11">
        <f t="shared" si="10"/>
        <v>0</v>
      </c>
      <c r="AU13" s="59">
        <f t="shared" si="11"/>
        <v>0</v>
      </c>
    </row>
  </sheetData>
  <phoneticPr fontId="3" type="noConversion"/>
  <conditionalFormatting sqref="C4:AI13">
    <cfRule type="containsText" dxfId="53" priority="9" operator="containsText" text="SL">
      <formula>NOT(ISERROR(SEARCH("SL",C4)))</formula>
    </cfRule>
  </conditionalFormatting>
  <conditionalFormatting sqref="D4:F4">
    <cfRule type="containsText" dxfId="52" priority="8" operator="containsText" text="SL">
      <formula>NOT(ISERROR(SEARCH("SL",D4)))</formula>
    </cfRule>
  </conditionalFormatting>
  <conditionalFormatting sqref="D4:N5">
    <cfRule type="beginsWith" dxfId="51" priority="4" operator="beginsWith" text="H">
      <formula>LEFT(D4,LEN("H"))="H"</formula>
    </cfRule>
  </conditionalFormatting>
  <conditionalFormatting sqref="D3:AI13">
    <cfRule type="containsText" dxfId="50" priority="7" operator="containsText" text="TR">
      <formula>NOT(ISERROR(SEARCH("TR",D3)))</formula>
    </cfRule>
  </conditionalFormatting>
  <conditionalFormatting sqref="D4:AI13">
    <cfRule type="containsText" dxfId="49" priority="1" operator="containsText" text="ML">
      <formula>NOT(ISERROR(SEARCH("ML",D4)))</formula>
    </cfRule>
    <cfRule type="beginsWith" dxfId="48" priority="2" operator="beginsWith" text="AB">
      <formula>LEFT(D4,LEN("AB"))="AB"</formula>
    </cfRule>
    <cfRule type="beginsWith" dxfId="47" priority="3" operator="beginsWith" text="H">
      <formula>LEFT(D4,LEN("H"))="H"</formula>
    </cfRule>
    <cfRule type="containsText" dxfId="46" priority="5" operator="containsText" text="PL">
      <formula>NOT(ISERROR(SEARCH("PL",D4)))</formula>
    </cfRule>
    <cfRule type="containsText" dxfId="45" priority="6" operator="containsText" text="WFH">
      <formula>NOT(ISERROR(SEARCH("WFH",D4)))</formula>
    </cfRule>
  </conditionalFormatting>
  <conditionalFormatting sqref="D4:AU13">
    <cfRule type="containsText" dxfId="44" priority="10" operator="containsText" text="AL">
      <formula>NOT(ISERROR(SEARCH("AL",D4)))</formula>
    </cfRule>
    <cfRule type="containsText" dxfId="43" priority="11" operator="containsText" text="P">
      <formula>NOT(ISERROR(SEARCH("P",D4)))</formula>
    </cfRule>
  </conditionalFormatting>
  <dataValidations count="1">
    <dataValidation type="list" allowBlank="1" showInputMessage="1" showErrorMessage="1" sqref="D4:AI13" xr:uid="{C931A7EC-CB80-4DC0-9BE1-1FC6724FBAA7}">
      <formula1>$AJ$3:$AT$3</formula1>
    </dataValidation>
  </dataValidations>
  <pageMargins left="0.7" right="0.7" top="0.75" bottom="0.75" header="0.3" footer="0.3"/>
  <pageSetup paperSize="9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53C08-AED6-40F9-A442-8CC47AFFB320}">
  <sheetPr codeName="Sheet3"/>
  <dimension ref="B2:AU13"/>
  <sheetViews>
    <sheetView zoomScaleNormal="100" workbookViewId="0">
      <pane xSplit="2" ySplit="3" topLeftCell="T4" activePane="bottomRight" state="frozen"/>
      <selection pane="topRight" activeCell="B1" sqref="B1"/>
      <selection pane="bottomLeft" activeCell="A3" sqref="A3"/>
      <selection pane="bottomRight" activeCell="AI11" sqref="AI11"/>
    </sheetView>
  </sheetViews>
  <sheetFormatPr defaultRowHeight="14.5" x14ac:dyDescent="0.35"/>
  <cols>
    <col min="1" max="1" width="4.453125" customWidth="1"/>
    <col min="2" max="2" width="21.1796875" bestFit="1" customWidth="1"/>
    <col min="3" max="3" width="9.81640625" bestFit="1" customWidth="1"/>
    <col min="4" max="4" width="5.54296875" customWidth="1"/>
    <col min="5" max="5" width="5.7265625" customWidth="1"/>
    <col min="6" max="6" width="5.81640625" customWidth="1"/>
    <col min="7" max="7" width="5.7265625" customWidth="1"/>
    <col min="8" max="8" width="6" customWidth="1"/>
    <col min="9" max="9" width="6.1796875" customWidth="1"/>
    <col min="10" max="10" width="5.81640625" customWidth="1"/>
    <col min="11" max="11" width="6" customWidth="1"/>
    <col min="12" max="12" width="5.81640625" customWidth="1"/>
    <col min="13" max="13" width="6.1796875" customWidth="1"/>
    <col min="14" max="14" width="5.7265625" customWidth="1"/>
    <col min="15" max="15" width="6.1796875" customWidth="1"/>
    <col min="16" max="17" width="5.81640625" customWidth="1"/>
    <col min="18" max="18" width="6" customWidth="1"/>
    <col min="19" max="19" width="5.453125" customWidth="1"/>
    <col min="20" max="20" width="5.7265625" customWidth="1"/>
    <col min="21" max="21" width="5.81640625" customWidth="1"/>
    <col min="22" max="22" width="5.54296875" customWidth="1"/>
    <col min="23" max="35" width="5.26953125" customWidth="1"/>
    <col min="36" max="36" width="4.81640625" customWidth="1"/>
    <col min="37" max="44" width="4.81640625" bestFit="1" customWidth="1"/>
    <col min="45" max="45" width="5" bestFit="1" customWidth="1"/>
    <col min="46" max="47" width="4.81640625" bestFit="1" customWidth="1"/>
  </cols>
  <sheetData>
    <row r="2" spans="2:47" ht="57.65" customHeight="1" x14ac:dyDescent="0.35">
      <c r="B2" s="13" t="s">
        <v>0</v>
      </c>
      <c r="C2" s="14">
        <v>46143</v>
      </c>
      <c r="D2" s="2">
        <v>45778</v>
      </c>
      <c r="E2" s="2">
        <v>45779</v>
      </c>
      <c r="F2" s="2">
        <v>45780</v>
      </c>
      <c r="G2" s="2">
        <v>45781</v>
      </c>
      <c r="H2" s="2">
        <v>45782</v>
      </c>
      <c r="I2" s="2">
        <v>45783</v>
      </c>
      <c r="J2" s="2">
        <v>45784</v>
      </c>
      <c r="K2" s="2">
        <v>45785</v>
      </c>
      <c r="L2" s="2">
        <v>45786</v>
      </c>
      <c r="M2" s="2">
        <v>45787</v>
      </c>
      <c r="N2" s="2">
        <v>45788</v>
      </c>
      <c r="O2" s="2">
        <v>45789</v>
      </c>
      <c r="P2" s="2">
        <v>45790</v>
      </c>
      <c r="Q2" s="2">
        <v>45791</v>
      </c>
      <c r="R2" s="2">
        <v>45792</v>
      </c>
      <c r="S2" s="2">
        <v>45793</v>
      </c>
      <c r="T2" s="2">
        <v>45794</v>
      </c>
      <c r="U2" s="2">
        <v>45795</v>
      </c>
      <c r="V2" s="2">
        <v>45796</v>
      </c>
      <c r="W2" s="2">
        <v>45797</v>
      </c>
      <c r="X2" s="2">
        <v>45798</v>
      </c>
      <c r="Y2" s="2">
        <v>45799</v>
      </c>
      <c r="Z2" s="2">
        <v>45800</v>
      </c>
      <c r="AA2" s="2">
        <v>45801</v>
      </c>
      <c r="AB2" s="2">
        <v>45802</v>
      </c>
      <c r="AC2" s="2">
        <v>45803</v>
      </c>
      <c r="AD2" s="2">
        <v>45804</v>
      </c>
      <c r="AE2" s="2">
        <v>45805</v>
      </c>
      <c r="AF2" s="2">
        <v>45806</v>
      </c>
      <c r="AG2" s="2">
        <v>45807</v>
      </c>
      <c r="AH2" s="2">
        <v>45808</v>
      </c>
      <c r="AI2" s="2"/>
      <c r="AJ2" s="12" t="s">
        <v>1</v>
      </c>
      <c r="AK2" s="12" t="s">
        <v>2</v>
      </c>
      <c r="AL2" s="12" t="s">
        <v>3</v>
      </c>
      <c r="AM2" s="12" t="s">
        <v>4</v>
      </c>
      <c r="AN2" s="12" t="s">
        <v>5</v>
      </c>
      <c r="AO2" s="12" t="s">
        <v>6</v>
      </c>
      <c r="AP2" s="12" t="s">
        <v>7</v>
      </c>
      <c r="AQ2" s="12" t="s">
        <v>8</v>
      </c>
      <c r="AR2" s="12" t="s">
        <v>9</v>
      </c>
      <c r="AS2" s="12" t="s">
        <v>10</v>
      </c>
      <c r="AT2" s="12" t="s">
        <v>11</v>
      </c>
      <c r="AU2" s="12" t="s">
        <v>12</v>
      </c>
    </row>
    <row r="3" spans="2:47" ht="32.25" customHeight="1" x14ac:dyDescent="0.35">
      <c r="B3" s="1" t="s">
        <v>13</v>
      </c>
      <c r="C3" s="1" t="s">
        <v>14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15</v>
      </c>
      <c r="I3" s="3" t="s">
        <v>16</v>
      </c>
      <c r="J3" s="3" t="s">
        <v>17</v>
      </c>
      <c r="K3" s="3" t="s">
        <v>18</v>
      </c>
      <c r="L3" s="3" t="s">
        <v>19</v>
      </c>
      <c r="M3" s="3" t="s">
        <v>20</v>
      </c>
      <c r="N3" s="3" t="s">
        <v>21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15</v>
      </c>
      <c r="W3" s="3" t="s">
        <v>16</v>
      </c>
      <c r="X3" s="3" t="s">
        <v>17</v>
      </c>
      <c r="Y3" s="3" t="s">
        <v>18</v>
      </c>
      <c r="Z3" s="3" t="s">
        <v>19</v>
      </c>
      <c r="AA3" s="3" t="s">
        <v>20</v>
      </c>
      <c r="AB3" s="3" t="s">
        <v>21</v>
      </c>
      <c r="AC3" s="3" t="s">
        <v>15</v>
      </c>
      <c r="AD3" s="3" t="s">
        <v>16</v>
      </c>
      <c r="AE3" s="3" t="s">
        <v>17</v>
      </c>
      <c r="AF3" s="3" t="s">
        <v>18</v>
      </c>
      <c r="AG3" s="3" t="s">
        <v>19</v>
      </c>
      <c r="AH3" s="3" t="s">
        <v>20</v>
      </c>
      <c r="AI3" s="10"/>
      <c r="AJ3" s="6" t="s">
        <v>22</v>
      </c>
      <c r="AK3" s="6" t="s">
        <v>53</v>
      </c>
      <c r="AL3" s="6" t="s">
        <v>91</v>
      </c>
      <c r="AM3" s="6" t="s">
        <v>25</v>
      </c>
      <c r="AN3" s="6" t="s">
        <v>26</v>
      </c>
      <c r="AO3" s="6" t="s">
        <v>27</v>
      </c>
      <c r="AP3" s="6" t="s">
        <v>28</v>
      </c>
      <c r="AQ3" s="6" t="s">
        <v>29</v>
      </c>
      <c r="AR3" s="6" t="s">
        <v>30</v>
      </c>
      <c r="AS3" s="6" t="s">
        <v>92</v>
      </c>
      <c r="AT3" s="6" t="s">
        <v>32</v>
      </c>
      <c r="AU3" s="6"/>
    </row>
    <row r="4" spans="2:47" x14ac:dyDescent="0.35">
      <c r="B4" s="4" t="s">
        <v>33</v>
      </c>
      <c r="C4" s="5" t="s">
        <v>43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11">
        <f t="shared" ref="AJ4:AJ13" si="0">COUNTIF(C4:AI4,"P")</f>
        <v>0</v>
      </c>
      <c r="AK4" s="11">
        <f t="shared" ref="AK4:AK13" si="1">COUNTIF(D4:AI4,"A")</f>
        <v>0</v>
      </c>
      <c r="AL4" s="11">
        <f t="shared" ref="AL4:AL13" si="2">COUNTIF(D4:AI4,"H")</f>
        <v>0</v>
      </c>
      <c r="AM4" s="11">
        <f t="shared" ref="AM4:AM13" si="3">COUNTIF(D4:AI4,"TR")</f>
        <v>0</v>
      </c>
      <c r="AN4" s="11">
        <f t="shared" ref="AN4:AN13" si="4">COUNTIF(D4:AI4,"CL")</f>
        <v>0</v>
      </c>
      <c r="AO4" s="11">
        <f t="shared" ref="AO4:AO13" si="5">COUNTIF(D4:AI4,"SL")</f>
        <v>0</v>
      </c>
      <c r="AP4" s="11">
        <f t="shared" ref="AP4:AP13" si="6">COUNTIF(D4:AI4,"AL")</f>
        <v>0</v>
      </c>
      <c r="AQ4" s="11">
        <f t="shared" ref="AQ4:AQ13" si="7">COUNTIF(D4:AI4,"ML")</f>
        <v>0</v>
      </c>
      <c r="AR4" s="11">
        <f t="shared" ref="AR4:AR13" si="8">COUNTIF(D4:AI4,"PL")</f>
        <v>0</v>
      </c>
      <c r="AS4" s="11">
        <f t="shared" ref="AS4:AS13" si="9">COUNTIF(D4:AI4,"WFH")</f>
        <v>0</v>
      </c>
      <c r="AT4" s="11">
        <f t="shared" ref="AT4:AT13" si="10">COUNTIF(D4:AI4,"NH")</f>
        <v>0</v>
      </c>
      <c r="AU4" s="11">
        <f>SUM(AJ4:AT4)</f>
        <v>0</v>
      </c>
    </row>
    <row r="5" spans="2:47" x14ac:dyDescent="0.35">
      <c r="B5" s="4" t="s">
        <v>34</v>
      </c>
      <c r="C5" s="4" t="s">
        <v>44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11">
        <f t="shared" si="0"/>
        <v>0</v>
      </c>
      <c r="AK5" s="11">
        <f t="shared" si="1"/>
        <v>0</v>
      </c>
      <c r="AL5" s="11">
        <f t="shared" si="2"/>
        <v>0</v>
      </c>
      <c r="AM5" s="11">
        <f t="shared" si="3"/>
        <v>0</v>
      </c>
      <c r="AN5" s="11">
        <f t="shared" si="4"/>
        <v>0</v>
      </c>
      <c r="AO5" s="11">
        <f t="shared" si="5"/>
        <v>0</v>
      </c>
      <c r="AP5" s="11">
        <f t="shared" si="6"/>
        <v>0</v>
      </c>
      <c r="AQ5" s="11">
        <f t="shared" si="7"/>
        <v>0</v>
      </c>
      <c r="AR5" s="11">
        <f t="shared" si="8"/>
        <v>0</v>
      </c>
      <c r="AS5" s="11">
        <f t="shared" si="9"/>
        <v>0</v>
      </c>
      <c r="AT5" s="11">
        <f t="shared" si="10"/>
        <v>0</v>
      </c>
      <c r="AU5" s="11">
        <f t="shared" ref="AU5:AU13" si="11">SUM(AJ5:AT5)</f>
        <v>0</v>
      </c>
    </row>
    <row r="6" spans="2:47" x14ac:dyDescent="0.35">
      <c r="B6" s="4" t="s">
        <v>35</v>
      </c>
      <c r="C6" s="4" t="s">
        <v>45</v>
      </c>
      <c r="D6" s="9"/>
      <c r="E6" s="9"/>
      <c r="F6" s="9"/>
      <c r="G6" s="9"/>
      <c r="H6" s="9"/>
      <c r="I6" s="7"/>
      <c r="J6" s="7"/>
      <c r="K6" s="7"/>
      <c r="L6" s="9"/>
      <c r="M6" s="9"/>
      <c r="N6" s="7"/>
      <c r="O6" s="7"/>
      <c r="P6" s="9"/>
      <c r="Q6" s="7"/>
      <c r="R6" s="7"/>
      <c r="S6" s="9"/>
      <c r="T6" s="9"/>
      <c r="U6" s="7"/>
      <c r="V6" s="7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11">
        <f t="shared" si="0"/>
        <v>0</v>
      </c>
      <c r="AK6" s="11">
        <f t="shared" si="1"/>
        <v>0</v>
      </c>
      <c r="AL6" s="11">
        <f t="shared" si="2"/>
        <v>0</v>
      </c>
      <c r="AM6" s="11">
        <f t="shared" si="3"/>
        <v>0</v>
      </c>
      <c r="AN6" s="11">
        <f t="shared" si="4"/>
        <v>0</v>
      </c>
      <c r="AO6" s="11">
        <f t="shared" si="5"/>
        <v>0</v>
      </c>
      <c r="AP6" s="11">
        <f t="shared" si="6"/>
        <v>0</v>
      </c>
      <c r="AQ6" s="11">
        <f t="shared" si="7"/>
        <v>0</v>
      </c>
      <c r="AR6" s="11">
        <f t="shared" si="8"/>
        <v>0</v>
      </c>
      <c r="AS6" s="11">
        <f t="shared" si="9"/>
        <v>0</v>
      </c>
      <c r="AT6" s="11">
        <f t="shared" si="10"/>
        <v>0</v>
      </c>
      <c r="AU6" s="11">
        <f t="shared" si="11"/>
        <v>0</v>
      </c>
    </row>
    <row r="7" spans="2:47" x14ac:dyDescent="0.35">
      <c r="B7" s="4" t="s">
        <v>36</v>
      </c>
      <c r="C7" s="4" t="s">
        <v>46</v>
      </c>
      <c r="D7" s="9"/>
      <c r="E7" s="9"/>
      <c r="F7" s="9"/>
      <c r="G7" s="9"/>
      <c r="H7" s="9"/>
      <c r="I7" s="7"/>
      <c r="J7" s="7"/>
      <c r="K7" s="7"/>
      <c r="L7" s="9"/>
      <c r="M7" s="9"/>
      <c r="N7" s="7"/>
      <c r="O7" s="7"/>
      <c r="P7" s="9"/>
      <c r="Q7" s="7"/>
      <c r="R7" s="7"/>
      <c r="S7" s="9"/>
      <c r="T7" s="9"/>
      <c r="U7" s="7"/>
      <c r="V7" s="7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11">
        <f t="shared" si="0"/>
        <v>0</v>
      </c>
      <c r="AK7" s="11">
        <f t="shared" si="1"/>
        <v>0</v>
      </c>
      <c r="AL7" s="11">
        <f t="shared" si="2"/>
        <v>0</v>
      </c>
      <c r="AM7" s="11">
        <f t="shared" si="3"/>
        <v>0</v>
      </c>
      <c r="AN7" s="11">
        <f t="shared" si="4"/>
        <v>0</v>
      </c>
      <c r="AO7" s="11">
        <f t="shared" si="5"/>
        <v>0</v>
      </c>
      <c r="AP7" s="11">
        <f t="shared" si="6"/>
        <v>0</v>
      </c>
      <c r="AQ7" s="11">
        <f t="shared" si="7"/>
        <v>0</v>
      </c>
      <c r="AR7" s="11">
        <f t="shared" si="8"/>
        <v>0</v>
      </c>
      <c r="AS7" s="11">
        <f t="shared" si="9"/>
        <v>0</v>
      </c>
      <c r="AT7" s="11">
        <f t="shared" si="10"/>
        <v>0</v>
      </c>
      <c r="AU7" s="11">
        <f t="shared" si="11"/>
        <v>0</v>
      </c>
    </row>
    <row r="8" spans="2:47" x14ac:dyDescent="0.35">
      <c r="B8" s="4" t="s">
        <v>37</v>
      </c>
      <c r="C8" s="4" t="s">
        <v>47</v>
      </c>
      <c r="D8" s="9"/>
      <c r="E8" s="9"/>
      <c r="F8" s="9"/>
      <c r="G8" s="9"/>
      <c r="H8" s="9"/>
      <c r="I8" s="7"/>
      <c r="J8" s="7"/>
      <c r="K8" s="7"/>
      <c r="L8" s="9"/>
      <c r="M8" s="9"/>
      <c r="N8" s="7"/>
      <c r="O8" s="7"/>
      <c r="P8" s="9"/>
      <c r="Q8" s="7"/>
      <c r="R8" s="7"/>
      <c r="S8" s="9"/>
      <c r="T8" s="9"/>
      <c r="U8" s="7"/>
      <c r="V8" s="7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11">
        <f t="shared" si="0"/>
        <v>0</v>
      </c>
      <c r="AK8" s="11">
        <f t="shared" si="1"/>
        <v>0</v>
      </c>
      <c r="AL8" s="11">
        <f t="shared" si="2"/>
        <v>0</v>
      </c>
      <c r="AM8" s="11">
        <f t="shared" si="3"/>
        <v>0</v>
      </c>
      <c r="AN8" s="11">
        <f t="shared" si="4"/>
        <v>0</v>
      </c>
      <c r="AO8" s="11">
        <f t="shared" si="5"/>
        <v>0</v>
      </c>
      <c r="AP8" s="11">
        <f t="shared" si="6"/>
        <v>0</v>
      </c>
      <c r="AQ8" s="11">
        <f t="shared" si="7"/>
        <v>0</v>
      </c>
      <c r="AR8" s="11">
        <f t="shared" si="8"/>
        <v>0</v>
      </c>
      <c r="AS8" s="11">
        <f t="shared" si="9"/>
        <v>0</v>
      </c>
      <c r="AT8" s="11">
        <f t="shared" si="10"/>
        <v>0</v>
      </c>
      <c r="AU8" s="11">
        <f t="shared" si="11"/>
        <v>0</v>
      </c>
    </row>
    <row r="9" spans="2:47" x14ac:dyDescent="0.35">
      <c r="B9" s="4" t="s">
        <v>38</v>
      </c>
      <c r="C9" s="4" t="s">
        <v>48</v>
      </c>
      <c r="D9" s="9"/>
      <c r="E9" s="9"/>
      <c r="F9" s="9"/>
      <c r="G9" s="9"/>
      <c r="H9" s="9"/>
      <c r="I9" s="7"/>
      <c r="J9" s="7"/>
      <c r="K9" s="7"/>
      <c r="L9" s="9"/>
      <c r="M9" s="9"/>
      <c r="N9" s="7"/>
      <c r="O9" s="7"/>
      <c r="P9" s="9"/>
      <c r="Q9" s="7"/>
      <c r="R9" s="7"/>
      <c r="S9" s="9"/>
      <c r="T9" s="9"/>
      <c r="U9" s="7"/>
      <c r="V9" s="7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11">
        <f t="shared" si="0"/>
        <v>0</v>
      </c>
      <c r="AK9" s="11">
        <f t="shared" si="1"/>
        <v>0</v>
      </c>
      <c r="AL9" s="11">
        <f t="shared" si="2"/>
        <v>0</v>
      </c>
      <c r="AM9" s="11">
        <f t="shared" si="3"/>
        <v>0</v>
      </c>
      <c r="AN9" s="11">
        <f t="shared" si="4"/>
        <v>0</v>
      </c>
      <c r="AO9" s="11">
        <f t="shared" si="5"/>
        <v>0</v>
      </c>
      <c r="AP9" s="11">
        <f t="shared" si="6"/>
        <v>0</v>
      </c>
      <c r="AQ9" s="11">
        <f t="shared" si="7"/>
        <v>0</v>
      </c>
      <c r="AR9" s="11">
        <f t="shared" si="8"/>
        <v>0</v>
      </c>
      <c r="AS9" s="11">
        <f t="shared" si="9"/>
        <v>0</v>
      </c>
      <c r="AT9" s="11">
        <f t="shared" si="10"/>
        <v>0</v>
      </c>
      <c r="AU9" s="11">
        <f t="shared" si="11"/>
        <v>0</v>
      </c>
    </row>
    <row r="10" spans="2:47" x14ac:dyDescent="0.35">
      <c r="B10" s="4" t="s">
        <v>39</v>
      </c>
      <c r="C10" s="4" t="s">
        <v>49</v>
      </c>
      <c r="D10" s="9"/>
      <c r="E10" s="9"/>
      <c r="F10" s="9"/>
      <c r="G10" s="9"/>
      <c r="H10" s="9"/>
      <c r="I10" s="7"/>
      <c r="J10" s="7"/>
      <c r="K10" s="7"/>
      <c r="L10" s="9"/>
      <c r="M10" s="9"/>
      <c r="N10" s="7"/>
      <c r="O10" s="7"/>
      <c r="P10" s="9"/>
      <c r="Q10" s="7"/>
      <c r="R10" s="7"/>
      <c r="S10" s="9"/>
      <c r="T10" s="9"/>
      <c r="U10" s="7"/>
      <c r="V10" s="7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11">
        <f t="shared" si="0"/>
        <v>0</v>
      </c>
      <c r="AK10" s="11">
        <f t="shared" si="1"/>
        <v>0</v>
      </c>
      <c r="AL10" s="11">
        <f t="shared" si="2"/>
        <v>0</v>
      </c>
      <c r="AM10" s="11">
        <f t="shared" si="3"/>
        <v>0</v>
      </c>
      <c r="AN10" s="11">
        <f t="shared" si="4"/>
        <v>0</v>
      </c>
      <c r="AO10" s="11">
        <f t="shared" si="5"/>
        <v>0</v>
      </c>
      <c r="AP10" s="11">
        <f t="shared" si="6"/>
        <v>0</v>
      </c>
      <c r="AQ10" s="11">
        <f t="shared" si="7"/>
        <v>0</v>
      </c>
      <c r="AR10" s="11">
        <f t="shared" si="8"/>
        <v>0</v>
      </c>
      <c r="AS10" s="11">
        <f t="shared" si="9"/>
        <v>0</v>
      </c>
      <c r="AT10" s="11">
        <f t="shared" si="10"/>
        <v>0</v>
      </c>
      <c r="AU10" s="11">
        <f t="shared" si="11"/>
        <v>0</v>
      </c>
    </row>
    <row r="11" spans="2:47" x14ac:dyDescent="0.35">
      <c r="B11" s="4" t="s">
        <v>40</v>
      </c>
      <c r="C11" s="4" t="s">
        <v>50</v>
      </c>
      <c r="D11" s="9"/>
      <c r="E11" s="9"/>
      <c r="F11" s="9"/>
      <c r="G11" s="9"/>
      <c r="H11" s="9"/>
      <c r="I11" s="7"/>
      <c r="J11" s="7"/>
      <c r="K11" s="7"/>
      <c r="L11" s="9"/>
      <c r="M11" s="9"/>
      <c r="N11" s="7"/>
      <c r="O11" s="7"/>
      <c r="P11" s="9"/>
      <c r="Q11" s="7"/>
      <c r="R11" s="7"/>
      <c r="S11" s="9"/>
      <c r="T11" s="9"/>
      <c r="U11" s="7"/>
      <c r="V11" s="7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11">
        <f t="shared" si="0"/>
        <v>0</v>
      </c>
      <c r="AK11" s="11">
        <f t="shared" si="1"/>
        <v>0</v>
      </c>
      <c r="AL11" s="11">
        <f t="shared" si="2"/>
        <v>0</v>
      </c>
      <c r="AM11" s="11">
        <f t="shared" si="3"/>
        <v>0</v>
      </c>
      <c r="AN11" s="11">
        <f t="shared" si="4"/>
        <v>0</v>
      </c>
      <c r="AO11" s="11">
        <f t="shared" si="5"/>
        <v>0</v>
      </c>
      <c r="AP11" s="11">
        <f t="shared" si="6"/>
        <v>0</v>
      </c>
      <c r="AQ11" s="11">
        <f t="shared" si="7"/>
        <v>0</v>
      </c>
      <c r="AR11" s="11">
        <f t="shared" si="8"/>
        <v>0</v>
      </c>
      <c r="AS11" s="11">
        <f t="shared" si="9"/>
        <v>0</v>
      </c>
      <c r="AT11" s="11">
        <f t="shared" si="10"/>
        <v>0</v>
      </c>
      <c r="AU11" s="11">
        <f t="shared" si="11"/>
        <v>0</v>
      </c>
    </row>
    <row r="12" spans="2:47" x14ac:dyDescent="0.35">
      <c r="B12" s="4" t="s">
        <v>41</v>
      </c>
      <c r="C12" s="4" t="s">
        <v>51</v>
      </c>
      <c r="D12" s="9"/>
      <c r="E12" s="9"/>
      <c r="F12" s="9"/>
      <c r="G12" s="9"/>
      <c r="H12" s="9"/>
      <c r="I12" s="7"/>
      <c r="J12" s="7"/>
      <c r="K12" s="7"/>
      <c r="L12" s="9"/>
      <c r="M12" s="9"/>
      <c r="N12" s="7"/>
      <c r="O12" s="7"/>
      <c r="P12" s="9"/>
      <c r="Q12" s="7"/>
      <c r="R12" s="7"/>
      <c r="S12" s="9"/>
      <c r="T12" s="9"/>
      <c r="U12" s="7"/>
      <c r="V12" s="7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11">
        <f t="shared" si="0"/>
        <v>0</v>
      </c>
      <c r="AK12" s="11">
        <f t="shared" si="1"/>
        <v>0</v>
      </c>
      <c r="AL12" s="11">
        <f t="shared" si="2"/>
        <v>0</v>
      </c>
      <c r="AM12" s="11">
        <f t="shared" si="3"/>
        <v>0</v>
      </c>
      <c r="AN12" s="11">
        <f t="shared" si="4"/>
        <v>0</v>
      </c>
      <c r="AO12" s="11">
        <f t="shared" si="5"/>
        <v>0</v>
      </c>
      <c r="AP12" s="11">
        <f t="shared" si="6"/>
        <v>0</v>
      </c>
      <c r="AQ12" s="11">
        <f t="shared" si="7"/>
        <v>0</v>
      </c>
      <c r="AR12" s="11">
        <f t="shared" si="8"/>
        <v>0</v>
      </c>
      <c r="AS12" s="11">
        <f t="shared" si="9"/>
        <v>0</v>
      </c>
      <c r="AT12" s="11">
        <f t="shared" si="10"/>
        <v>0</v>
      </c>
      <c r="AU12" s="11">
        <f t="shared" si="11"/>
        <v>0</v>
      </c>
    </row>
    <row r="13" spans="2:47" x14ac:dyDescent="0.35">
      <c r="B13" s="4" t="s">
        <v>42</v>
      </c>
      <c r="C13" s="4" t="s">
        <v>52</v>
      </c>
      <c r="D13" s="9"/>
      <c r="E13" s="9"/>
      <c r="F13" s="9"/>
      <c r="G13" s="9"/>
      <c r="H13" s="9"/>
      <c r="I13" s="7"/>
      <c r="J13" s="7"/>
      <c r="K13" s="7"/>
      <c r="L13" s="9"/>
      <c r="M13" s="9"/>
      <c r="N13" s="7"/>
      <c r="O13" s="7"/>
      <c r="P13" s="9"/>
      <c r="Q13" s="7"/>
      <c r="R13" s="7"/>
      <c r="S13" s="9"/>
      <c r="T13" s="9"/>
      <c r="U13" s="7"/>
      <c r="V13" s="7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11">
        <f t="shared" si="0"/>
        <v>0</v>
      </c>
      <c r="AK13" s="11">
        <f t="shared" si="1"/>
        <v>0</v>
      </c>
      <c r="AL13" s="11">
        <f t="shared" si="2"/>
        <v>0</v>
      </c>
      <c r="AM13" s="11">
        <f t="shared" si="3"/>
        <v>0</v>
      </c>
      <c r="AN13" s="11">
        <f t="shared" si="4"/>
        <v>0</v>
      </c>
      <c r="AO13" s="11">
        <f t="shared" si="5"/>
        <v>0</v>
      </c>
      <c r="AP13" s="11">
        <f t="shared" si="6"/>
        <v>0</v>
      </c>
      <c r="AQ13" s="11">
        <f t="shared" si="7"/>
        <v>0</v>
      </c>
      <c r="AR13" s="11">
        <f t="shared" si="8"/>
        <v>0</v>
      </c>
      <c r="AS13" s="11">
        <f t="shared" si="9"/>
        <v>0</v>
      </c>
      <c r="AT13" s="11">
        <f t="shared" si="10"/>
        <v>0</v>
      </c>
      <c r="AU13" s="11">
        <f t="shared" si="11"/>
        <v>0</v>
      </c>
    </row>
  </sheetData>
  <phoneticPr fontId="3" type="noConversion"/>
  <conditionalFormatting sqref="C4:AI13">
    <cfRule type="containsText" dxfId="42" priority="10" operator="containsText" text="SL">
      <formula>NOT(ISERROR(SEARCH("SL",C4)))</formula>
    </cfRule>
  </conditionalFormatting>
  <conditionalFormatting sqref="D4:J5">
    <cfRule type="beginsWith" dxfId="41" priority="4" operator="beginsWith" text="H">
      <formula>LEFT(D4,LEN("H"))="H"</formula>
    </cfRule>
  </conditionalFormatting>
  <conditionalFormatting sqref="D3:AI13">
    <cfRule type="containsText" dxfId="40" priority="7" operator="containsText" text="TR">
      <formula>NOT(ISERROR(SEARCH("TR",D3)))</formula>
    </cfRule>
  </conditionalFormatting>
  <conditionalFormatting sqref="D4:AI13">
    <cfRule type="containsText" dxfId="39" priority="1" operator="containsText" text="ML">
      <formula>NOT(ISERROR(SEARCH("ML",D4)))</formula>
    </cfRule>
    <cfRule type="beginsWith" dxfId="38" priority="2" operator="beginsWith" text="AB">
      <formula>LEFT(D4,LEN("AB"))="AB"</formula>
    </cfRule>
    <cfRule type="beginsWith" dxfId="37" priority="3" operator="beginsWith" text="H">
      <formula>LEFT(D4,LEN("H"))="H"</formula>
    </cfRule>
    <cfRule type="containsText" dxfId="36" priority="5" operator="containsText" text="PL">
      <formula>NOT(ISERROR(SEARCH("PL",D4)))</formula>
    </cfRule>
    <cfRule type="containsText" dxfId="35" priority="6" operator="containsText" text="WFH">
      <formula>NOT(ISERROR(SEARCH("WFH",D4)))</formula>
    </cfRule>
  </conditionalFormatting>
  <conditionalFormatting sqref="D4:AU13">
    <cfRule type="containsText" dxfId="34" priority="12" operator="containsText" text="AL">
      <formula>NOT(ISERROR(SEARCH("AL",D4)))</formula>
    </cfRule>
    <cfRule type="containsText" dxfId="33" priority="13" operator="containsText" text="P">
      <formula>NOT(ISERROR(SEARCH("P",D4)))</formula>
    </cfRule>
  </conditionalFormatting>
  <dataValidations count="1">
    <dataValidation type="list" allowBlank="1" showInputMessage="1" showErrorMessage="1" sqref="D4:AI13" xr:uid="{4114DCC8-CCB0-4DC4-A7A6-446A695847D8}">
      <formula1>$AJ$3:$AT$3</formula1>
    </dataValidation>
  </dataValidations>
  <pageMargins left="0.7" right="0.7" top="0.75" bottom="0.75" header="0.3" footer="0.3"/>
  <pageSetup paperSize="9" orientation="landscape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E3904-719D-46E2-A011-E3F033DBE66E}">
  <sheetPr codeName="Sheet2"/>
  <dimension ref="A2:AU13"/>
  <sheetViews>
    <sheetView zoomScaleNormal="100"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L11" sqref="L11"/>
    </sheetView>
  </sheetViews>
  <sheetFormatPr defaultRowHeight="14.5" x14ac:dyDescent="0.35"/>
  <cols>
    <col min="1" max="1" width="21.1796875" bestFit="1" customWidth="1"/>
    <col min="2" max="2" width="9.81640625" bestFit="1" customWidth="1"/>
    <col min="3" max="3" width="5.54296875" customWidth="1"/>
    <col min="4" max="4" width="5.81640625" customWidth="1"/>
    <col min="5" max="5" width="5.54296875" customWidth="1"/>
    <col min="6" max="6" width="5.7265625" customWidth="1"/>
    <col min="7" max="7" width="5.81640625" customWidth="1"/>
    <col min="8" max="8" width="5.1796875" customWidth="1"/>
    <col min="9" max="9" width="5.7265625" customWidth="1"/>
    <col min="10" max="10" width="5.81640625" customWidth="1"/>
    <col min="11" max="11" width="5.7265625" customWidth="1"/>
    <col min="12" max="12" width="5.54296875" customWidth="1"/>
    <col min="13" max="13" width="5.7265625" customWidth="1"/>
    <col min="14" max="14" width="5.81640625" customWidth="1"/>
    <col min="15" max="15" width="5.7265625" customWidth="1"/>
    <col min="16" max="16" width="6" customWidth="1"/>
    <col min="17" max="17" width="6.1796875" customWidth="1"/>
    <col min="18" max="18" width="5.81640625" customWidth="1"/>
    <col min="19" max="19" width="6" customWidth="1"/>
    <col min="20" max="20" width="5.81640625" customWidth="1"/>
    <col min="21" max="21" width="6.1796875" customWidth="1"/>
    <col min="22" max="22" width="5.7265625" customWidth="1"/>
    <col min="23" max="23" width="6.1796875" customWidth="1"/>
    <col min="24" max="25" width="5.81640625" customWidth="1"/>
    <col min="26" max="26" width="6" customWidth="1"/>
    <col min="27" max="27" width="5.453125" customWidth="1"/>
    <col min="28" max="28" width="5.7265625" customWidth="1"/>
    <col min="29" max="29" width="5.81640625" customWidth="1"/>
    <col min="30" max="30" width="5.54296875" customWidth="1"/>
    <col min="31" max="35" width="5.26953125" customWidth="1"/>
    <col min="36" max="36" width="4.81640625" customWidth="1"/>
    <col min="37" max="44" width="4.81640625" bestFit="1" customWidth="1"/>
    <col min="45" max="45" width="5" bestFit="1" customWidth="1"/>
    <col min="46" max="47" width="4.81640625" bestFit="1" customWidth="1"/>
  </cols>
  <sheetData>
    <row r="2" spans="1:47" ht="57.65" customHeight="1" x14ac:dyDescent="0.35">
      <c r="A2" s="13" t="s">
        <v>0</v>
      </c>
      <c r="B2" s="14">
        <v>46113</v>
      </c>
      <c r="C2" s="2">
        <v>45748</v>
      </c>
      <c r="D2" s="2">
        <v>45749</v>
      </c>
      <c r="E2" s="2">
        <v>45750</v>
      </c>
      <c r="F2" s="2">
        <v>45751</v>
      </c>
      <c r="G2" s="2">
        <v>45752</v>
      </c>
      <c r="H2" s="2">
        <v>45753</v>
      </c>
      <c r="I2" s="2">
        <v>45754</v>
      </c>
      <c r="J2" s="2">
        <v>45755</v>
      </c>
      <c r="K2" s="2">
        <v>45756</v>
      </c>
      <c r="L2" s="2">
        <v>45757</v>
      </c>
      <c r="M2" s="2">
        <v>45758</v>
      </c>
      <c r="N2" s="2">
        <v>45759</v>
      </c>
      <c r="O2" s="2">
        <v>45760</v>
      </c>
      <c r="P2" s="2">
        <v>45761</v>
      </c>
      <c r="Q2" s="2">
        <v>45762</v>
      </c>
      <c r="R2" s="2">
        <v>45763</v>
      </c>
      <c r="S2" s="2">
        <v>45764</v>
      </c>
      <c r="T2" s="2">
        <v>45765</v>
      </c>
      <c r="U2" s="2">
        <v>45766</v>
      </c>
      <c r="V2" s="2">
        <v>45767</v>
      </c>
      <c r="W2" s="2">
        <v>45768</v>
      </c>
      <c r="X2" s="2">
        <v>45769</v>
      </c>
      <c r="Y2" s="2">
        <v>45770</v>
      </c>
      <c r="Z2" s="2">
        <v>45771</v>
      </c>
      <c r="AA2" s="2">
        <v>45772</v>
      </c>
      <c r="AB2" s="2">
        <v>45773</v>
      </c>
      <c r="AC2" s="2">
        <v>45774</v>
      </c>
      <c r="AD2" s="2">
        <v>45775</v>
      </c>
      <c r="AE2" s="2">
        <v>45776</v>
      </c>
      <c r="AF2" s="2">
        <v>45777</v>
      </c>
      <c r="AG2" s="2"/>
      <c r="AH2" s="2"/>
      <c r="AI2" s="2"/>
      <c r="AJ2" s="12" t="s">
        <v>1</v>
      </c>
      <c r="AK2" s="12" t="s">
        <v>2</v>
      </c>
      <c r="AL2" s="12" t="s">
        <v>3</v>
      </c>
      <c r="AM2" s="12" t="s">
        <v>4</v>
      </c>
      <c r="AN2" s="12" t="s">
        <v>5</v>
      </c>
      <c r="AO2" s="12" t="s">
        <v>6</v>
      </c>
      <c r="AP2" s="12" t="s">
        <v>7</v>
      </c>
      <c r="AQ2" s="12" t="s">
        <v>8</v>
      </c>
      <c r="AR2" s="12" t="s">
        <v>9</v>
      </c>
      <c r="AS2" s="12" t="s">
        <v>10</v>
      </c>
      <c r="AT2" s="12" t="s">
        <v>11</v>
      </c>
      <c r="AU2" s="12" t="s">
        <v>12</v>
      </c>
    </row>
    <row r="3" spans="1:47" ht="32.25" customHeight="1" x14ac:dyDescent="0.35">
      <c r="A3" s="1" t="s">
        <v>13</v>
      </c>
      <c r="B3" s="1" t="s">
        <v>14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15</v>
      </c>
      <c r="J3" s="3" t="s">
        <v>16</v>
      </c>
      <c r="K3" s="3" t="s">
        <v>17</v>
      </c>
      <c r="L3" s="3" t="s">
        <v>18</v>
      </c>
      <c r="M3" s="3" t="s">
        <v>19</v>
      </c>
      <c r="N3" s="3" t="s">
        <v>20</v>
      </c>
      <c r="O3" s="3" t="s">
        <v>21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15</v>
      </c>
      <c r="X3" s="3" t="s">
        <v>16</v>
      </c>
      <c r="Y3" s="3" t="s">
        <v>17</v>
      </c>
      <c r="Z3" s="3" t="s">
        <v>18</v>
      </c>
      <c r="AA3" s="3" t="s">
        <v>19</v>
      </c>
      <c r="AB3" s="3" t="s">
        <v>20</v>
      </c>
      <c r="AC3" s="3" t="s">
        <v>21</v>
      </c>
      <c r="AD3" s="3" t="s">
        <v>15</v>
      </c>
      <c r="AE3" s="3" t="s">
        <v>16</v>
      </c>
      <c r="AF3" s="3" t="s">
        <v>17</v>
      </c>
      <c r="AG3" s="10"/>
      <c r="AH3" s="10"/>
      <c r="AI3" s="10"/>
      <c r="AJ3" s="6" t="s">
        <v>22</v>
      </c>
      <c r="AK3" s="6" t="s">
        <v>23</v>
      </c>
      <c r="AL3" s="6" t="s">
        <v>24</v>
      </c>
      <c r="AM3" s="6" t="s">
        <v>25</v>
      </c>
      <c r="AN3" s="6" t="s">
        <v>26</v>
      </c>
      <c r="AO3" s="6" t="s">
        <v>27</v>
      </c>
      <c r="AP3" s="6" t="s">
        <v>28</v>
      </c>
      <c r="AQ3" s="6" t="s">
        <v>29</v>
      </c>
      <c r="AR3" s="6" t="s">
        <v>30</v>
      </c>
      <c r="AS3" s="6" t="s">
        <v>31</v>
      </c>
      <c r="AT3" s="6" t="s">
        <v>32</v>
      </c>
      <c r="AU3" s="6"/>
    </row>
    <row r="4" spans="1:47" x14ac:dyDescent="0.35">
      <c r="A4" s="4" t="s">
        <v>33</v>
      </c>
      <c r="B4" s="5" t="s">
        <v>43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8"/>
      <c r="AF4" s="8"/>
      <c r="AG4" s="8"/>
      <c r="AH4" s="8"/>
      <c r="AI4" s="8"/>
      <c r="AJ4" s="11">
        <f t="shared" ref="AJ4:AJ13" si="0">COUNTIF(B4:AI4,"P")</f>
        <v>0</v>
      </c>
      <c r="AK4" s="11">
        <f t="shared" ref="AK4:AK13" si="1">COUNTIF(C4:AI4,"A")</f>
        <v>0</v>
      </c>
      <c r="AL4" s="11">
        <f t="shared" ref="AL4:AL13" si="2">COUNTIF(C4:AI4,"H")</f>
        <v>0</v>
      </c>
      <c r="AM4" s="11">
        <f t="shared" ref="AM4:AM13" si="3">COUNTIF(C4:AI4,"TR")</f>
        <v>0</v>
      </c>
      <c r="AN4" s="11">
        <f t="shared" ref="AN4:AN13" si="4">COUNTIF(C4:AI4,"CL")</f>
        <v>0</v>
      </c>
      <c r="AO4" s="11">
        <f t="shared" ref="AO4:AO13" si="5">COUNTIF(C4:AI4,"SL")</f>
        <v>0</v>
      </c>
      <c r="AP4" s="11">
        <f t="shared" ref="AP4:AP13" si="6">COUNTIF(C4:AI4,"AL")</f>
        <v>0</v>
      </c>
      <c r="AQ4" s="11">
        <f t="shared" ref="AQ4:AQ13" si="7">COUNTIF(C4:AI4,"ML")</f>
        <v>0</v>
      </c>
      <c r="AR4" s="11">
        <f t="shared" ref="AR4:AR13" si="8">COUNTIF(C4:AI4,"PL")</f>
        <v>0</v>
      </c>
      <c r="AS4" s="11">
        <f t="shared" ref="AS4:AS13" si="9">COUNTIF(C4:AI4,"WFH")</f>
        <v>0</v>
      </c>
      <c r="AT4" s="11">
        <f t="shared" ref="AT4:AT13" si="10">COUNTIF(C4:AI4,"NH")</f>
        <v>0</v>
      </c>
      <c r="AU4" s="11">
        <f>SUM(AJ4:AT4)</f>
        <v>0</v>
      </c>
    </row>
    <row r="5" spans="1:47" x14ac:dyDescent="0.35">
      <c r="A5" s="4" t="s">
        <v>34</v>
      </c>
      <c r="B5" s="4" t="s">
        <v>44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8"/>
      <c r="AF5" s="8"/>
      <c r="AG5" s="8"/>
      <c r="AH5" s="8"/>
      <c r="AI5" s="8"/>
      <c r="AJ5" s="11">
        <f t="shared" si="0"/>
        <v>0</v>
      </c>
      <c r="AK5" s="11">
        <f t="shared" si="1"/>
        <v>0</v>
      </c>
      <c r="AL5" s="11">
        <f t="shared" si="2"/>
        <v>0</v>
      </c>
      <c r="AM5" s="11">
        <f t="shared" si="3"/>
        <v>0</v>
      </c>
      <c r="AN5" s="11">
        <f t="shared" si="4"/>
        <v>0</v>
      </c>
      <c r="AO5" s="11">
        <f t="shared" si="5"/>
        <v>0</v>
      </c>
      <c r="AP5" s="11">
        <f t="shared" si="6"/>
        <v>0</v>
      </c>
      <c r="AQ5" s="11">
        <f t="shared" si="7"/>
        <v>0</v>
      </c>
      <c r="AR5" s="11">
        <f t="shared" si="8"/>
        <v>0</v>
      </c>
      <c r="AS5" s="11">
        <f t="shared" si="9"/>
        <v>0</v>
      </c>
      <c r="AT5" s="11">
        <f t="shared" si="10"/>
        <v>0</v>
      </c>
      <c r="AU5" s="11">
        <f t="shared" ref="AU5:AU13" si="11">SUM(AJ5:AT5)</f>
        <v>0</v>
      </c>
    </row>
    <row r="6" spans="1:47" x14ac:dyDescent="0.35">
      <c r="A6" s="4" t="s">
        <v>35</v>
      </c>
      <c r="B6" s="4" t="s">
        <v>45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7"/>
      <c r="R6" s="7"/>
      <c r="S6" s="7"/>
      <c r="T6" s="9"/>
      <c r="U6" s="9"/>
      <c r="V6" s="7"/>
      <c r="W6" s="7"/>
      <c r="X6" s="9"/>
      <c r="Y6" s="7"/>
      <c r="Z6" s="7"/>
      <c r="AA6" s="9"/>
      <c r="AB6" s="9"/>
      <c r="AC6" s="7"/>
      <c r="AD6" s="7"/>
      <c r="AE6" s="8"/>
      <c r="AF6" s="8"/>
      <c r="AG6" s="8"/>
      <c r="AH6" s="8"/>
      <c r="AI6" s="8"/>
      <c r="AJ6" s="11">
        <f t="shared" si="0"/>
        <v>0</v>
      </c>
      <c r="AK6" s="11">
        <f t="shared" si="1"/>
        <v>0</v>
      </c>
      <c r="AL6" s="11">
        <f t="shared" si="2"/>
        <v>0</v>
      </c>
      <c r="AM6" s="11">
        <f t="shared" si="3"/>
        <v>0</v>
      </c>
      <c r="AN6" s="11">
        <f t="shared" si="4"/>
        <v>0</v>
      </c>
      <c r="AO6" s="11">
        <f t="shared" si="5"/>
        <v>0</v>
      </c>
      <c r="AP6" s="11">
        <f t="shared" si="6"/>
        <v>0</v>
      </c>
      <c r="AQ6" s="11">
        <f t="shared" si="7"/>
        <v>0</v>
      </c>
      <c r="AR6" s="11">
        <f t="shared" si="8"/>
        <v>0</v>
      </c>
      <c r="AS6" s="11">
        <f t="shared" si="9"/>
        <v>0</v>
      </c>
      <c r="AT6" s="11">
        <f t="shared" si="10"/>
        <v>0</v>
      </c>
      <c r="AU6" s="11">
        <f t="shared" si="11"/>
        <v>0</v>
      </c>
    </row>
    <row r="7" spans="1:47" x14ac:dyDescent="0.35">
      <c r="A7" s="4" t="s">
        <v>36</v>
      </c>
      <c r="B7" s="4" t="s">
        <v>46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7"/>
      <c r="R7" s="7"/>
      <c r="S7" s="7"/>
      <c r="T7" s="9"/>
      <c r="U7" s="9"/>
      <c r="V7" s="7"/>
      <c r="W7" s="7"/>
      <c r="X7" s="9"/>
      <c r="Y7" s="7"/>
      <c r="Z7" s="7"/>
      <c r="AA7" s="9"/>
      <c r="AB7" s="9"/>
      <c r="AC7" s="7"/>
      <c r="AD7" s="7"/>
      <c r="AE7" s="8"/>
      <c r="AF7" s="8"/>
      <c r="AG7" s="8"/>
      <c r="AH7" s="8"/>
      <c r="AI7" s="8"/>
      <c r="AJ7" s="11">
        <f t="shared" si="0"/>
        <v>0</v>
      </c>
      <c r="AK7" s="11">
        <f t="shared" si="1"/>
        <v>0</v>
      </c>
      <c r="AL7" s="11">
        <f t="shared" si="2"/>
        <v>0</v>
      </c>
      <c r="AM7" s="11">
        <f t="shared" si="3"/>
        <v>0</v>
      </c>
      <c r="AN7" s="11">
        <f t="shared" si="4"/>
        <v>0</v>
      </c>
      <c r="AO7" s="11">
        <f t="shared" si="5"/>
        <v>0</v>
      </c>
      <c r="AP7" s="11">
        <f t="shared" si="6"/>
        <v>0</v>
      </c>
      <c r="AQ7" s="11">
        <f t="shared" si="7"/>
        <v>0</v>
      </c>
      <c r="AR7" s="11">
        <f t="shared" si="8"/>
        <v>0</v>
      </c>
      <c r="AS7" s="11">
        <f t="shared" si="9"/>
        <v>0</v>
      </c>
      <c r="AT7" s="11">
        <f t="shared" si="10"/>
        <v>0</v>
      </c>
      <c r="AU7" s="11">
        <f t="shared" si="11"/>
        <v>0</v>
      </c>
    </row>
    <row r="8" spans="1:47" x14ac:dyDescent="0.35">
      <c r="A8" s="4" t="s">
        <v>37</v>
      </c>
      <c r="B8" s="4" t="s">
        <v>47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7"/>
      <c r="R8" s="7"/>
      <c r="S8" s="7"/>
      <c r="T8" s="9"/>
      <c r="U8" s="9"/>
      <c r="V8" s="7"/>
      <c r="W8" s="7"/>
      <c r="X8" s="9"/>
      <c r="Y8" s="7"/>
      <c r="Z8" s="7"/>
      <c r="AA8" s="9"/>
      <c r="AB8" s="9"/>
      <c r="AC8" s="7"/>
      <c r="AD8" s="7"/>
      <c r="AE8" s="8"/>
      <c r="AF8" s="8"/>
      <c r="AG8" s="8"/>
      <c r="AH8" s="8"/>
      <c r="AI8" s="8"/>
      <c r="AJ8" s="11">
        <f t="shared" si="0"/>
        <v>0</v>
      </c>
      <c r="AK8" s="11">
        <f t="shared" si="1"/>
        <v>0</v>
      </c>
      <c r="AL8" s="11">
        <f t="shared" si="2"/>
        <v>0</v>
      </c>
      <c r="AM8" s="11">
        <f t="shared" si="3"/>
        <v>0</v>
      </c>
      <c r="AN8" s="11">
        <f t="shared" si="4"/>
        <v>0</v>
      </c>
      <c r="AO8" s="11">
        <f t="shared" si="5"/>
        <v>0</v>
      </c>
      <c r="AP8" s="11">
        <f t="shared" si="6"/>
        <v>0</v>
      </c>
      <c r="AQ8" s="11">
        <f t="shared" si="7"/>
        <v>0</v>
      </c>
      <c r="AR8" s="11">
        <f t="shared" si="8"/>
        <v>0</v>
      </c>
      <c r="AS8" s="11">
        <f t="shared" si="9"/>
        <v>0</v>
      </c>
      <c r="AT8" s="11">
        <f t="shared" si="10"/>
        <v>0</v>
      </c>
      <c r="AU8" s="11">
        <f t="shared" si="11"/>
        <v>0</v>
      </c>
    </row>
    <row r="9" spans="1:47" x14ac:dyDescent="0.35">
      <c r="A9" s="4" t="s">
        <v>38</v>
      </c>
      <c r="B9" s="4" t="s">
        <v>48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7"/>
      <c r="R9" s="7"/>
      <c r="S9" s="7"/>
      <c r="T9" s="9"/>
      <c r="U9" s="9"/>
      <c r="V9" s="7"/>
      <c r="W9" s="7"/>
      <c r="X9" s="9"/>
      <c r="Y9" s="7"/>
      <c r="Z9" s="7"/>
      <c r="AA9" s="9"/>
      <c r="AB9" s="9"/>
      <c r="AC9" s="7"/>
      <c r="AD9" s="7"/>
      <c r="AE9" s="8"/>
      <c r="AF9" s="8"/>
      <c r="AG9" s="8"/>
      <c r="AH9" s="8"/>
      <c r="AI9" s="8"/>
      <c r="AJ9" s="11">
        <f t="shared" si="0"/>
        <v>0</v>
      </c>
      <c r="AK9" s="11">
        <f t="shared" si="1"/>
        <v>0</v>
      </c>
      <c r="AL9" s="11">
        <f t="shared" si="2"/>
        <v>0</v>
      </c>
      <c r="AM9" s="11">
        <f t="shared" si="3"/>
        <v>0</v>
      </c>
      <c r="AN9" s="11">
        <f t="shared" si="4"/>
        <v>0</v>
      </c>
      <c r="AO9" s="11">
        <f t="shared" si="5"/>
        <v>0</v>
      </c>
      <c r="AP9" s="11">
        <f t="shared" si="6"/>
        <v>0</v>
      </c>
      <c r="AQ9" s="11">
        <f t="shared" si="7"/>
        <v>0</v>
      </c>
      <c r="AR9" s="11">
        <f t="shared" si="8"/>
        <v>0</v>
      </c>
      <c r="AS9" s="11">
        <f t="shared" si="9"/>
        <v>0</v>
      </c>
      <c r="AT9" s="11">
        <f t="shared" si="10"/>
        <v>0</v>
      </c>
      <c r="AU9" s="11">
        <f t="shared" si="11"/>
        <v>0</v>
      </c>
    </row>
    <row r="10" spans="1:47" x14ac:dyDescent="0.35">
      <c r="A10" s="4" t="s">
        <v>39</v>
      </c>
      <c r="B10" s="4" t="s">
        <v>49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7"/>
      <c r="R10" s="7"/>
      <c r="S10" s="7"/>
      <c r="T10" s="9"/>
      <c r="U10" s="9"/>
      <c r="V10" s="7"/>
      <c r="W10" s="7"/>
      <c r="X10" s="9"/>
      <c r="Y10" s="7"/>
      <c r="Z10" s="7"/>
      <c r="AA10" s="9"/>
      <c r="AB10" s="9"/>
      <c r="AC10" s="7"/>
      <c r="AD10" s="7"/>
      <c r="AE10" s="8"/>
      <c r="AF10" s="8"/>
      <c r="AG10" s="8"/>
      <c r="AH10" s="8"/>
      <c r="AI10" s="8"/>
      <c r="AJ10" s="11">
        <f t="shared" si="0"/>
        <v>0</v>
      </c>
      <c r="AK10" s="11">
        <f t="shared" si="1"/>
        <v>0</v>
      </c>
      <c r="AL10" s="11">
        <f t="shared" si="2"/>
        <v>0</v>
      </c>
      <c r="AM10" s="11">
        <f t="shared" si="3"/>
        <v>0</v>
      </c>
      <c r="AN10" s="11">
        <f t="shared" si="4"/>
        <v>0</v>
      </c>
      <c r="AO10" s="11">
        <f t="shared" si="5"/>
        <v>0</v>
      </c>
      <c r="AP10" s="11">
        <f t="shared" si="6"/>
        <v>0</v>
      </c>
      <c r="AQ10" s="11">
        <f t="shared" si="7"/>
        <v>0</v>
      </c>
      <c r="AR10" s="11">
        <f t="shared" si="8"/>
        <v>0</v>
      </c>
      <c r="AS10" s="11">
        <f t="shared" si="9"/>
        <v>0</v>
      </c>
      <c r="AT10" s="11">
        <f t="shared" si="10"/>
        <v>0</v>
      </c>
      <c r="AU10" s="11">
        <f t="shared" si="11"/>
        <v>0</v>
      </c>
    </row>
    <row r="11" spans="1:47" x14ac:dyDescent="0.35">
      <c r="A11" s="4" t="s">
        <v>40</v>
      </c>
      <c r="B11" s="4" t="s">
        <v>50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7"/>
      <c r="R11" s="7"/>
      <c r="S11" s="7"/>
      <c r="T11" s="9"/>
      <c r="U11" s="9"/>
      <c r="V11" s="7"/>
      <c r="W11" s="7"/>
      <c r="X11" s="9"/>
      <c r="Y11" s="7"/>
      <c r="Z11" s="7"/>
      <c r="AA11" s="9"/>
      <c r="AB11" s="9"/>
      <c r="AC11" s="7"/>
      <c r="AD11" s="7"/>
      <c r="AE11" s="8"/>
      <c r="AF11" s="8"/>
      <c r="AG11" s="8"/>
      <c r="AH11" s="8"/>
      <c r="AI11" s="8"/>
      <c r="AJ11" s="11">
        <f t="shared" si="0"/>
        <v>0</v>
      </c>
      <c r="AK11" s="11">
        <f t="shared" si="1"/>
        <v>0</v>
      </c>
      <c r="AL11" s="11">
        <f t="shared" si="2"/>
        <v>0</v>
      </c>
      <c r="AM11" s="11">
        <f t="shared" si="3"/>
        <v>0</v>
      </c>
      <c r="AN11" s="11">
        <f t="shared" si="4"/>
        <v>0</v>
      </c>
      <c r="AO11" s="11">
        <f t="shared" si="5"/>
        <v>0</v>
      </c>
      <c r="AP11" s="11">
        <f t="shared" si="6"/>
        <v>0</v>
      </c>
      <c r="AQ11" s="11">
        <f t="shared" si="7"/>
        <v>0</v>
      </c>
      <c r="AR11" s="11">
        <f t="shared" si="8"/>
        <v>0</v>
      </c>
      <c r="AS11" s="11">
        <f t="shared" si="9"/>
        <v>0</v>
      </c>
      <c r="AT11" s="11">
        <f t="shared" si="10"/>
        <v>0</v>
      </c>
      <c r="AU11" s="11">
        <f t="shared" si="11"/>
        <v>0</v>
      </c>
    </row>
    <row r="12" spans="1:47" x14ac:dyDescent="0.35">
      <c r="A12" s="4" t="s">
        <v>41</v>
      </c>
      <c r="B12" s="4" t="s">
        <v>51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7"/>
      <c r="R12" s="7"/>
      <c r="S12" s="7"/>
      <c r="T12" s="9"/>
      <c r="U12" s="9"/>
      <c r="V12" s="7"/>
      <c r="W12" s="7"/>
      <c r="X12" s="9"/>
      <c r="Y12" s="7"/>
      <c r="Z12" s="7"/>
      <c r="AA12" s="9"/>
      <c r="AB12" s="9"/>
      <c r="AC12" s="7"/>
      <c r="AD12" s="7"/>
      <c r="AE12" s="8"/>
      <c r="AF12" s="8"/>
      <c r="AG12" s="8"/>
      <c r="AH12" s="8"/>
      <c r="AI12" s="8"/>
      <c r="AJ12" s="11">
        <f t="shared" si="0"/>
        <v>0</v>
      </c>
      <c r="AK12" s="11">
        <f t="shared" si="1"/>
        <v>0</v>
      </c>
      <c r="AL12" s="11">
        <f t="shared" si="2"/>
        <v>0</v>
      </c>
      <c r="AM12" s="11">
        <f t="shared" si="3"/>
        <v>0</v>
      </c>
      <c r="AN12" s="11">
        <f t="shared" si="4"/>
        <v>0</v>
      </c>
      <c r="AO12" s="11">
        <f t="shared" si="5"/>
        <v>0</v>
      </c>
      <c r="AP12" s="11">
        <f t="shared" si="6"/>
        <v>0</v>
      </c>
      <c r="AQ12" s="11">
        <f t="shared" si="7"/>
        <v>0</v>
      </c>
      <c r="AR12" s="11">
        <f t="shared" si="8"/>
        <v>0</v>
      </c>
      <c r="AS12" s="11">
        <f t="shared" si="9"/>
        <v>0</v>
      </c>
      <c r="AT12" s="11">
        <f t="shared" si="10"/>
        <v>0</v>
      </c>
      <c r="AU12" s="11">
        <f t="shared" si="11"/>
        <v>0</v>
      </c>
    </row>
    <row r="13" spans="1:47" x14ac:dyDescent="0.35">
      <c r="A13" s="4" t="s">
        <v>42</v>
      </c>
      <c r="B13" s="4" t="s">
        <v>52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7"/>
      <c r="R13" s="7"/>
      <c r="S13" s="7"/>
      <c r="T13" s="9"/>
      <c r="U13" s="9"/>
      <c r="V13" s="7"/>
      <c r="W13" s="7"/>
      <c r="X13" s="9"/>
      <c r="Y13" s="7"/>
      <c r="Z13" s="7"/>
      <c r="AA13" s="9"/>
      <c r="AB13" s="9"/>
      <c r="AC13" s="7"/>
      <c r="AD13" s="7"/>
      <c r="AE13" s="8"/>
      <c r="AF13" s="8"/>
      <c r="AG13" s="8"/>
      <c r="AH13" s="8"/>
      <c r="AI13" s="8"/>
      <c r="AJ13" s="11">
        <f t="shared" si="0"/>
        <v>0</v>
      </c>
      <c r="AK13" s="11">
        <f t="shared" si="1"/>
        <v>0</v>
      </c>
      <c r="AL13" s="11">
        <f t="shared" si="2"/>
        <v>0</v>
      </c>
      <c r="AM13" s="11">
        <f t="shared" si="3"/>
        <v>0</v>
      </c>
      <c r="AN13" s="11">
        <f t="shared" si="4"/>
        <v>0</v>
      </c>
      <c r="AO13" s="11">
        <f t="shared" si="5"/>
        <v>0</v>
      </c>
      <c r="AP13" s="11">
        <f t="shared" si="6"/>
        <v>0</v>
      </c>
      <c r="AQ13" s="11">
        <f t="shared" si="7"/>
        <v>0</v>
      </c>
      <c r="AR13" s="11">
        <f t="shared" si="8"/>
        <v>0</v>
      </c>
      <c r="AS13" s="11">
        <f t="shared" si="9"/>
        <v>0</v>
      </c>
      <c r="AT13" s="11">
        <f t="shared" si="10"/>
        <v>0</v>
      </c>
      <c r="AU13" s="11">
        <f t="shared" si="11"/>
        <v>0</v>
      </c>
    </row>
  </sheetData>
  <phoneticPr fontId="3" type="noConversion"/>
  <conditionalFormatting sqref="B4:AI13">
    <cfRule type="containsText" dxfId="32" priority="3" operator="containsText" text="SL">
      <formula>NOT(ISERROR(SEARCH("SL",B4)))</formula>
    </cfRule>
  </conditionalFormatting>
  <conditionalFormatting sqref="C9">
    <cfRule type="containsText" dxfId="31" priority="5" operator="containsText" text="SL">
      <formula>NOT(ISERROR(SEARCH("SL",C9)))</formula>
    </cfRule>
  </conditionalFormatting>
  <conditionalFormatting sqref="C12:D12">
    <cfRule type="containsText" dxfId="30" priority="6" operator="containsText" text="PL">
      <formula>NOT(ISERROR(SEARCH("PL",C12)))</formula>
    </cfRule>
  </conditionalFormatting>
  <conditionalFormatting sqref="C4:AU13">
    <cfRule type="containsText" dxfId="29" priority="7" operator="containsText" text="AL">
      <formula>NOT(ISERROR(SEARCH("AL",C4)))</formula>
    </cfRule>
    <cfRule type="containsText" dxfId="28" priority="8" operator="containsText" text="P">
      <formula>NOT(ISERROR(SEARCH("P",C4)))</formula>
    </cfRule>
  </conditionalFormatting>
  <conditionalFormatting sqref="H4:J4">
    <cfRule type="containsText" dxfId="27" priority="4" operator="containsText" text="SL">
      <formula>NOT(ISERROR(SEARCH("SL",H4)))</formula>
    </cfRule>
  </conditionalFormatting>
  <pageMargins left="0.7" right="0.7" top="0.75" bottom="0.75" header="0.3" footer="0.3"/>
  <pageSetup paperSize="9" orientation="landscape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A2D4B-63F1-47D3-948F-A6835B1F0475}">
  <sheetPr codeName="Sheet13"/>
  <dimension ref="B2:AV17"/>
  <sheetViews>
    <sheetView tabSelected="1" zoomScaleNormal="100" workbookViewId="0">
      <pane xSplit="3" ySplit="3" topLeftCell="X4" activePane="bottomRight" state="frozen"/>
      <selection pane="topRight" activeCell="D1" sqref="D1"/>
      <selection pane="bottomLeft" activeCell="A3" sqref="A3"/>
      <selection pane="bottomRight" activeCell="AU16" sqref="AU16"/>
    </sheetView>
  </sheetViews>
  <sheetFormatPr defaultRowHeight="14.5" x14ac:dyDescent="0.35"/>
  <cols>
    <col min="1" max="1" width="3.81640625" customWidth="1"/>
    <col min="2" max="2" width="22.1796875" bestFit="1" customWidth="1"/>
    <col min="3" max="3" width="9.81640625" bestFit="1" customWidth="1"/>
    <col min="4" max="4" width="6.1796875" customWidth="1"/>
    <col min="5" max="5" width="5.7265625" customWidth="1"/>
    <col min="6" max="6" width="6.1796875" customWidth="1"/>
    <col min="7" max="8" width="5.81640625" customWidth="1"/>
    <col min="9" max="9" width="6" customWidth="1"/>
    <col min="10" max="10" width="5.453125" customWidth="1"/>
    <col min="11" max="11" width="5.7265625" customWidth="1"/>
    <col min="12" max="12" width="5.81640625" customWidth="1"/>
    <col min="13" max="13" width="5.54296875" customWidth="1"/>
    <col min="14" max="17" width="5.26953125" customWidth="1"/>
    <col min="18" max="18" width="5.7265625" customWidth="1"/>
    <col min="19" max="35" width="5.81640625" customWidth="1"/>
    <col min="36" max="36" width="4.81640625" style="62" customWidth="1"/>
    <col min="37" max="44" width="4.81640625" bestFit="1" customWidth="1"/>
    <col min="45" max="45" width="5" bestFit="1" customWidth="1"/>
    <col min="46" max="47" width="4.81640625" bestFit="1" customWidth="1"/>
    <col min="48" max="48" width="11.1796875" style="109" bestFit="1" customWidth="1"/>
  </cols>
  <sheetData>
    <row r="2" spans="2:48" ht="57.65" customHeight="1" x14ac:dyDescent="0.35">
      <c r="B2" s="13" t="s">
        <v>0</v>
      </c>
      <c r="C2" s="58">
        <v>46082</v>
      </c>
      <c r="D2" s="2">
        <v>45717</v>
      </c>
      <c r="E2" s="2">
        <v>45718</v>
      </c>
      <c r="F2" s="2">
        <v>45719</v>
      </c>
      <c r="G2" s="2">
        <v>45720</v>
      </c>
      <c r="H2" s="2">
        <v>45721</v>
      </c>
      <c r="I2" s="2">
        <v>45722</v>
      </c>
      <c r="J2" s="2">
        <v>45723</v>
      </c>
      <c r="K2" s="2">
        <v>45724</v>
      </c>
      <c r="L2" s="2">
        <v>45725</v>
      </c>
      <c r="M2" s="2">
        <v>45726</v>
      </c>
      <c r="N2" s="2">
        <v>45727</v>
      </c>
      <c r="O2" s="2">
        <v>45728</v>
      </c>
      <c r="P2" s="2">
        <v>45729</v>
      </c>
      <c r="Q2" s="2">
        <v>45730</v>
      </c>
      <c r="R2" s="2">
        <v>45731</v>
      </c>
      <c r="S2" s="2">
        <v>45732</v>
      </c>
      <c r="T2" s="2">
        <v>45733</v>
      </c>
      <c r="U2" s="2">
        <v>45734</v>
      </c>
      <c r="V2" s="2">
        <v>45735</v>
      </c>
      <c r="W2" s="2">
        <v>45736</v>
      </c>
      <c r="X2" s="2">
        <v>45737</v>
      </c>
      <c r="Y2" s="2">
        <v>45738</v>
      </c>
      <c r="Z2" s="2">
        <v>45739</v>
      </c>
      <c r="AA2" s="2">
        <v>45740</v>
      </c>
      <c r="AB2" s="2">
        <v>45741</v>
      </c>
      <c r="AC2" s="2">
        <v>45742</v>
      </c>
      <c r="AD2" s="2">
        <v>45743</v>
      </c>
      <c r="AE2" s="2">
        <v>45744</v>
      </c>
      <c r="AF2" s="2">
        <v>45745</v>
      </c>
      <c r="AG2" s="2">
        <v>45746</v>
      </c>
      <c r="AH2" s="2">
        <v>45747</v>
      </c>
      <c r="AI2" s="2"/>
      <c r="AJ2" s="12" t="s">
        <v>1</v>
      </c>
      <c r="AK2" s="12" t="s">
        <v>2</v>
      </c>
      <c r="AL2" s="12" t="s">
        <v>3</v>
      </c>
      <c r="AM2" s="12" t="s">
        <v>4</v>
      </c>
      <c r="AN2" s="12" t="s">
        <v>5</v>
      </c>
      <c r="AO2" s="12" t="s">
        <v>6</v>
      </c>
      <c r="AP2" s="12" t="s">
        <v>7</v>
      </c>
      <c r="AQ2" s="12" t="s">
        <v>8</v>
      </c>
      <c r="AR2" s="12" t="s">
        <v>9</v>
      </c>
      <c r="AS2" s="12" t="s">
        <v>10</v>
      </c>
      <c r="AT2" s="12" t="s">
        <v>11</v>
      </c>
      <c r="AU2" s="12" t="s">
        <v>12</v>
      </c>
    </row>
    <row r="3" spans="2:48" ht="32.25" customHeight="1" x14ac:dyDescent="0.35">
      <c r="B3" s="1" t="s">
        <v>13</v>
      </c>
      <c r="C3" s="1" t="s">
        <v>14</v>
      </c>
      <c r="D3" s="93" t="s">
        <v>20</v>
      </c>
      <c r="E3" s="3" t="s">
        <v>21</v>
      </c>
      <c r="F3" s="3" t="s">
        <v>15</v>
      </c>
      <c r="G3" s="3" t="s">
        <v>16</v>
      </c>
      <c r="H3" s="3" t="s">
        <v>17</v>
      </c>
      <c r="I3" s="3" t="s">
        <v>18</v>
      </c>
      <c r="J3" s="93" t="s">
        <v>19</v>
      </c>
      <c r="K3" s="93" t="s">
        <v>20</v>
      </c>
      <c r="L3" s="3" t="s">
        <v>21</v>
      </c>
      <c r="M3" s="3" t="s">
        <v>15</v>
      </c>
      <c r="N3" s="3" t="s">
        <v>16</v>
      </c>
      <c r="O3" s="3" t="s">
        <v>17</v>
      </c>
      <c r="P3" s="3" t="s">
        <v>18</v>
      </c>
      <c r="Q3" s="93" t="s">
        <v>19</v>
      </c>
      <c r="R3" s="93" t="s">
        <v>20</v>
      </c>
      <c r="S3" s="3" t="s">
        <v>21</v>
      </c>
      <c r="T3" s="3" t="s">
        <v>15</v>
      </c>
      <c r="U3" s="3" t="s">
        <v>16</v>
      </c>
      <c r="V3" s="3" t="s">
        <v>17</v>
      </c>
      <c r="W3" s="3" t="s">
        <v>18</v>
      </c>
      <c r="X3" s="93" t="s">
        <v>19</v>
      </c>
      <c r="Y3" s="93" t="s">
        <v>20</v>
      </c>
      <c r="Z3" s="3" t="s">
        <v>21</v>
      </c>
      <c r="AA3" s="3" t="s">
        <v>15</v>
      </c>
      <c r="AB3" s="3" t="s">
        <v>16</v>
      </c>
      <c r="AC3" s="3" t="s">
        <v>17</v>
      </c>
      <c r="AD3" s="3" t="s">
        <v>18</v>
      </c>
      <c r="AE3" s="93" t="s">
        <v>19</v>
      </c>
      <c r="AF3" s="93" t="s">
        <v>20</v>
      </c>
      <c r="AG3" s="3" t="s">
        <v>21</v>
      </c>
      <c r="AH3" s="3" t="s">
        <v>15</v>
      </c>
      <c r="AI3" s="10"/>
      <c r="AJ3" s="6" t="s">
        <v>22</v>
      </c>
      <c r="AK3" s="6" t="s">
        <v>53</v>
      </c>
      <c r="AL3" s="6" t="s">
        <v>91</v>
      </c>
      <c r="AM3" s="6" t="s">
        <v>25</v>
      </c>
      <c r="AN3" s="6" t="s">
        <v>26</v>
      </c>
      <c r="AO3" s="6" t="s">
        <v>27</v>
      </c>
      <c r="AP3" s="6" t="s">
        <v>28</v>
      </c>
      <c r="AQ3" s="6" t="s">
        <v>29</v>
      </c>
      <c r="AR3" s="6" t="s">
        <v>30</v>
      </c>
      <c r="AS3" s="6" t="s">
        <v>92</v>
      </c>
      <c r="AT3" s="6" t="s">
        <v>32</v>
      </c>
      <c r="AU3" s="6"/>
    </row>
    <row r="4" spans="2:48" x14ac:dyDescent="0.35">
      <c r="B4" s="4" t="s">
        <v>33</v>
      </c>
      <c r="C4" s="5" t="s">
        <v>43</v>
      </c>
      <c r="D4" s="7" t="s">
        <v>29</v>
      </c>
      <c r="E4" s="7" t="s">
        <v>29</v>
      </c>
      <c r="F4" s="7" t="s">
        <v>29</v>
      </c>
      <c r="G4" s="7" t="s">
        <v>29</v>
      </c>
      <c r="H4" s="7" t="s">
        <v>29</v>
      </c>
      <c r="I4" s="7" t="s">
        <v>29</v>
      </c>
      <c r="J4" s="7" t="s">
        <v>29</v>
      </c>
      <c r="K4" s="7" t="s">
        <v>29</v>
      </c>
      <c r="L4" s="7" t="s">
        <v>29</v>
      </c>
      <c r="M4" s="7" t="s">
        <v>29</v>
      </c>
      <c r="N4" s="7" t="s">
        <v>29</v>
      </c>
      <c r="O4" s="7" t="s">
        <v>29</v>
      </c>
      <c r="P4" s="7" t="s">
        <v>29</v>
      </c>
      <c r="Q4" s="8" t="s">
        <v>29</v>
      </c>
      <c r="R4" s="7" t="s">
        <v>29</v>
      </c>
      <c r="S4" s="7" t="s">
        <v>29</v>
      </c>
      <c r="T4" s="7" t="s">
        <v>29</v>
      </c>
      <c r="U4" s="7" t="s">
        <v>29</v>
      </c>
      <c r="V4" s="8" t="s">
        <v>29</v>
      </c>
      <c r="W4" s="7" t="s">
        <v>29</v>
      </c>
      <c r="X4" s="8" t="s">
        <v>29</v>
      </c>
      <c r="Y4" s="8" t="s">
        <v>29</v>
      </c>
      <c r="Z4" s="7" t="s">
        <v>29</v>
      </c>
      <c r="AA4" s="7" t="s">
        <v>29</v>
      </c>
      <c r="AB4" s="7" t="s">
        <v>29</v>
      </c>
      <c r="AC4" s="7" t="s">
        <v>29</v>
      </c>
      <c r="AD4" s="7" t="s">
        <v>29</v>
      </c>
      <c r="AE4" s="8" t="s">
        <v>29</v>
      </c>
      <c r="AF4" s="8" t="s">
        <v>29</v>
      </c>
      <c r="AG4" s="7" t="s">
        <v>29</v>
      </c>
      <c r="AH4" s="8" t="s">
        <v>29</v>
      </c>
      <c r="AI4" s="8"/>
      <c r="AJ4" s="61">
        <f t="shared" ref="AJ4:AJ13" si="0">COUNTIF(C4:AI4,"P")</f>
        <v>0</v>
      </c>
      <c r="AK4" s="11">
        <f t="shared" ref="AK4:AK13" si="1">COUNTIF(D4:AI4,"A")</f>
        <v>0</v>
      </c>
      <c r="AL4" s="11">
        <f t="shared" ref="AL4:AL13" si="2">COUNTIF(D4:AI4,"H")</f>
        <v>0</v>
      </c>
      <c r="AM4" s="11">
        <f t="shared" ref="AM4:AM13" si="3">COUNTIF(D4:AI4,"TR")</f>
        <v>0</v>
      </c>
      <c r="AN4" s="11">
        <f t="shared" ref="AN4:AN13" si="4">COUNTIF(D4:AI4,"CL")</f>
        <v>0</v>
      </c>
      <c r="AO4" s="11">
        <f t="shared" ref="AO4:AO13" si="5">COUNTIF(D4:AI4,"SL")</f>
        <v>0</v>
      </c>
      <c r="AP4" s="11">
        <f t="shared" ref="AP4:AP13" si="6">COUNTIF(D4:AI4,"AL")</f>
        <v>0</v>
      </c>
      <c r="AQ4" s="11">
        <f t="shared" ref="AQ4:AQ13" si="7">COUNTIF(D4:AI4,"ML")</f>
        <v>31</v>
      </c>
      <c r="AR4" s="11">
        <f t="shared" ref="AR4:AR13" si="8">COUNTIF(D4:AI4,"PL")</f>
        <v>0</v>
      </c>
      <c r="AS4" s="11">
        <f t="shared" ref="AS4:AS13" si="9">COUNTIF(D4:AI4,"WFH")</f>
        <v>0</v>
      </c>
      <c r="AT4" s="11">
        <f t="shared" ref="AT4:AT13" si="10">COUNTIF(D4:AI4,"NH")</f>
        <v>0</v>
      </c>
      <c r="AU4" s="11">
        <f>SUM(AJ4:AT4)</f>
        <v>31</v>
      </c>
      <c r="AV4" s="109">
        <v>4000000</v>
      </c>
    </row>
    <row r="5" spans="2:48" x14ac:dyDescent="0.35">
      <c r="B5" s="4" t="s">
        <v>34</v>
      </c>
      <c r="C5" s="4" t="s">
        <v>44</v>
      </c>
      <c r="D5" s="7"/>
      <c r="E5" s="7" t="s">
        <v>22</v>
      </c>
      <c r="F5" s="7" t="s">
        <v>22</v>
      </c>
      <c r="G5" s="7" t="s">
        <v>28</v>
      </c>
      <c r="H5" s="7" t="s">
        <v>22</v>
      </c>
      <c r="I5" s="7" t="s">
        <v>22</v>
      </c>
      <c r="J5" s="7"/>
      <c r="K5" s="7"/>
      <c r="L5" s="7" t="s">
        <v>22</v>
      </c>
      <c r="M5" s="7" t="s">
        <v>22</v>
      </c>
      <c r="N5" s="7" t="s">
        <v>22</v>
      </c>
      <c r="O5" s="7" t="s">
        <v>22</v>
      </c>
      <c r="P5" s="7" t="s">
        <v>22</v>
      </c>
      <c r="Q5" s="8"/>
      <c r="R5" s="7"/>
      <c r="S5" s="7" t="s">
        <v>22</v>
      </c>
      <c r="T5" s="7" t="s">
        <v>22</v>
      </c>
      <c r="U5" s="7" t="s">
        <v>22</v>
      </c>
      <c r="V5" s="7" t="s">
        <v>22</v>
      </c>
      <c r="W5" s="7" t="s">
        <v>32</v>
      </c>
      <c r="X5" s="8"/>
      <c r="Y5" s="8"/>
      <c r="Z5" s="7" t="s">
        <v>22</v>
      </c>
      <c r="AA5" s="7" t="s">
        <v>22</v>
      </c>
      <c r="AB5" s="7" t="s">
        <v>22</v>
      </c>
      <c r="AC5" s="7" t="s">
        <v>22</v>
      </c>
      <c r="AD5" s="7" t="s">
        <v>22</v>
      </c>
      <c r="AE5" s="8"/>
      <c r="AF5" s="8"/>
      <c r="AG5" s="7"/>
      <c r="AH5" s="8"/>
      <c r="AI5" s="8"/>
      <c r="AJ5" s="61">
        <f t="shared" si="0"/>
        <v>18</v>
      </c>
      <c r="AK5" s="11">
        <f t="shared" si="1"/>
        <v>0</v>
      </c>
      <c r="AL5" s="11">
        <f t="shared" si="2"/>
        <v>0</v>
      </c>
      <c r="AM5" s="11">
        <f t="shared" si="3"/>
        <v>0</v>
      </c>
      <c r="AN5" s="11">
        <f t="shared" si="4"/>
        <v>0</v>
      </c>
      <c r="AO5" s="11">
        <f t="shared" si="5"/>
        <v>0</v>
      </c>
      <c r="AP5" s="11">
        <f t="shared" si="6"/>
        <v>1</v>
      </c>
      <c r="AQ5" s="11">
        <f t="shared" si="7"/>
        <v>0</v>
      </c>
      <c r="AR5" s="11">
        <f t="shared" si="8"/>
        <v>0</v>
      </c>
      <c r="AS5" s="11">
        <f t="shared" si="9"/>
        <v>0</v>
      </c>
      <c r="AT5" s="11">
        <f t="shared" si="10"/>
        <v>1</v>
      </c>
      <c r="AU5" s="11">
        <f t="shared" ref="AU5:AU13" si="11">SUM(AJ5:AT5)</f>
        <v>20</v>
      </c>
    </row>
    <row r="6" spans="2:48" x14ac:dyDescent="0.35">
      <c r="B6" s="4" t="s">
        <v>35</v>
      </c>
      <c r="C6" s="4" t="s">
        <v>45</v>
      </c>
      <c r="D6" s="9"/>
      <c r="E6" s="7" t="s">
        <v>22</v>
      </c>
      <c r="F6" s="7" t="s">
        <v>22</v>
      </c>
      <c r="G6" s="7" t="s">
        <v>22</v>
      </c>
      <c r="H6" s="7" t="s">
        <v>22</v>
      </c>
      <c r="I6" s="7" t="s">
        <v>22</v>
      </c>
      <c r="J6" s="9"/>
      <c r="K6" s="9"/>
      <c r="L6" s="7" t="s">
        <v>22</v>
      </c>
      <c r="M6" s="7" t="s">
        <v>22</v>
      </c>
      <c r="N6" s="7" t="s">
        <v>22</v>
      </c>
      <c r="O6" s="7" t="s">
        <v>22</v>
      </c>
      <c r="P6" s="7" t="s">
        <v>22</v>
      </c>
      <c r="Q6" s="8"/>
      <c r="R6" s="9"/>
      <c r="S6" s="7" t="s">
        <v>22</v>
      </c>
      <c r="T6" s="7" t="s">
        <v>22</v>
      </c>
      <c r="U6" s="7" t="s">
        <v>22</v>
      </c>
      <c r="V6" s="7" t="s">
        <v>22</v>
      </c>
      <c r="W6" s="7" t="s">
        <v>32</v>
      </c>
      <c r="X6" s="8"/>
      <c r="Y6" s="8"/>
      <c r="Z6" s="7" t="s">
        <v>22</v>
      </c>
      <c r="AA6" s="7" t="s">
        <v>22</v>
      </c>
      <c r="AB6" s="7" t="s">
        <v>22</v>
      </c>
      <c r="AC6" s="7" t="s">
        <v>22</v>
      </c>
      <c r="AD6" s="7" t="s">
        <v>22</v>
      </c>
      <c r="AE6" s="8"/>
      <c r="AF6" s="8"/>
      <c r="AG6" s="7"/>
      <c r="AH6" s="8"/>
      <c r="AI6" s="8"/>
      <c r="AJ6" s="61">
        <f t="shared" si="0"/>
        <v>19</v>
      </c>
      <c r="AK6" s="11">
        <f t="shared" si="1"/>
        <v>0</v>
      </c>
      <c r="AL6" s="11">
        <f t="shared" si="2"/>
        <v>0</v>
      </c>
      <c r="AM6" s="11">
        <f t="shared" si="3"/>
        <v>0</v>
      </c>
      <c r="AN6" s="11">
        <f t="shared" si="4"/>
        <v>0</v>
      </c>
      <c r="AO6" s="11">
        <f t="shared" si="5"/>
        <v>0</v>
      </c>
      <c r="AP6" s="11">
        <f t="shared" si="6"/>
        <v>0</v>
      </c>
      <c r="AQ6" s="11">
        <f t="shared" si="7"/>
        <v>0</v>
      </c>
      <c r="AR6" s="11">
        <f t="shared" si="8"/>
        <v>0</v>
      </c>
      <c r="AS6" s="11">
        <f t="shared" si="9"/>
        <v>0</v>
      </c>
      <c r="AT6" s="11">
        <f t="shared" si="10"/>
        <v>1</v>
      </c>
      <c r="AU6" s="11">
        <f t="shared" si="11"/>
        <v>20</v>
      </c>
    </row>
    <row r="7" spans="2:48" x14ac:dyDescent="0.35">
      <c r="B7" s="4" t="s">
        <v>36</v>
      </c>
      <c r="C7" s="4" t="s">
        <v>46</v>
      </c>
      <c r="D7" s="9"/>
      <c r="E7" s="7" t="s">
        <v>22</v>
      </c>
      <c r="F7" s="7" t="s">
        <v>22</v>
      </c>
      <c r="G7" s="7" t="s">
        <v>22</v>
      </c>
      <c r="H7" s="7" t="s">
        <v>22</v>
      </c>
      <c r="I7" s="7" t="s">
        <v>22</v>
      </c>
      <c r="J7" s="9"/>
      <c r="K7" s="9"/>
      <c r="L7" s="7" t="s">
        <v>22</v>
      </c>
      <c r="M7" s="7" t="s">
        <v>22</v>
      </c>
      <c r="N7" s="7" t="s">
        <v>22</v>
      </c>
      <c r="O7" s="7" t="s">
        <v>22</v>
      </c>
      <c r="P7" s="7" t="s">
        <v>22</v>
      </c>
      <c r="Q7" s="8"/>
      <c r="R7" s="9"/>
      <c r="S7" s="7" t="s">
        <v>22</v>
      </c>
      <c r="T7" s="7" t="s">
        <v>22</v>
      </c>
      <c r="U7" s="7" t="s">
        <v>22</v>
      </c>
      <c r="V7" s="7" t="s">
        <v>22</v>
      </c>
      <c r="W7" s="7" t="s">
        <v>32</v>
      </c>
      <c r="X7" s="8"/>
      <c r="Y7" s="8"/>
      <c r="Z7" s="7" t="s">
        <v>22</v>
      </c>
      <c r="AA7" s="7" t="s">
        <v>22</v>
      </c>
      <c r="AB7" s="7" t="s">
        <v>22</v>
      </c>
      <c r="AC7" s="7" t="s">
        <v>22</v>
      </c>
      <c r="AD7" s="7" t="s">
        <v>27</v>
      </c>
      <c r="AE7" s="8"/>
      <c r="AF7" s="8"/>
      <c r="AG7" s="7"/>
      <c r="AH7" s="8"/>
      <c r="AI7" s="8"/>
      <c r="AJ7" s="61">
        <f t="shared" si="0"/>
        <v>18</v>
      </c>
      <c r="AK7" s="11">
        <f t="shared" si="1"/>
        <v>0</v>
      </c>
      <c r="AL7" s="11">
        <f t="shared" si="2"/>
        <v>0</v>
      </c>
      <c r="AM7" s="11">
        <f t="shared" si="3"/>
        <v>0</v>
      </c>
      <c r="AN7" s="11">
        <f t="shared" si="4"/>
        <v>0</v>
      </c>
      <c r="AO7" s="11">
        <f t="shared" si="5"/>
        <v>1</v>
      </c>
      <c r="AP7" s="11">
        <f t="shared" si="6"/>
        <v>0</v>
      </c>
      <c r="AQ7" s="11">
        <f t="shared" si="7"/>
        <v>0</v>
      </c>
      <c r="AR7" s="11">
        <f t="shared" si="8"/>
        <v>0</v>
      </c>
      <c r="AS7" s="11">
        <f t="shared" si="9"/>
        <v>0</v>
      </c>
      <c r="AT7" s="11">
        <f t="shared" si="10"/>
        <v>1</v>
      </c>
      <c r="AU7" s="11">
        <f t="shared" si="11"/>
        <v>20</v>
      </c>
    </row>
    <row r="8" spans="2:48" x14ac:dyDescent="0.35">
      <c r="B8" s="4" t="s">
        <v>37</v>
      </c>
      <c r="C8" s="4" t="s">
        <v>47</v>
      </c>
      <c r="D8" s="9"/>
      <c r="E8" s="7" t="s">
        <v>22</v>
      </c>
      <c r="F8" s="7" t="s">
        <v>22</v>
      </c>
      <c r="G8" s="7" t="s">
        <v>22</v>
      </c>
      <c r="H8" s="7" t="s">
        <v>22</v>
      </c>
      <c r="I8" s="7" t="s">
        <v>22</v>
      </c>
      <c r="J8" s="9"/>
      <c r="K8" s="9"/>
      <c r="L8" s="7" t="s">
        <v>22</v>
      </c>
      <c r="M8" s="7" t="s">
        <v>22</v>
      </c>
      <c r="N8" s="7" t="s">
        <v>22</v>
      </c>
      <c r="O8" s="7" t="s">
        <v>22</v>
      </c>
      <c r="P8" s="7" t="s">
        <v>22</v>
      </c>
      <c r="Q8" s="8"/>
      <c r="R8" s="9"/>
      <c r="S8" s="7" t="s">
        <v>22</v>
      </c>
      <c r="T8" s="7" t="s">
        <v>22</v>
      </c>
      <c r="U8" s="7" t="s">
        <v>22</v>
      </c>
      <c r="V8" s="7" t="s">
        <v>22</v>
      </c>
      <c r="W8" s="7" t="s">
        <v>22</v>
      </c>
      <c r="X8" s="8"/>
      <c r="Y8" s="8"/>
      <c r="Z8" s="7" t="s">
        <v>22</v>
      </c>
      <c r="AA8" s="7" t="s">
        <v>22</v>
      </c>
      <c r="AB8" s="7" t="s">
        <v>22</v>
      </c>
      <c r="AC8" s="7" t="s">
        <v>22</v>
      </c>
      <c r="AD8" s="7" t="s">
        <v>22</v>
      </c>
      <c r="AE8" s="8"/>
      <c r="AF8" s="8"/>
      <c r="AG8" s="7"/>
      <c r="AH8" s="8"/>
      <c r="AI8" s="8"/>
      <c r="AJ8" s="61">
        <f t="shared" si="0"/>
        <v>20</v>
      </c>
      <c r="AK8" s="11">
        <f t="shared" si="1"/>
        <v>0</v>
      </c>
      <c r="AL8" s="11">
        <f t="shared" si="2"/>
        <v>0</v>
      </c>
      <c r="AM8" s="11">
        <f t="shared" si="3"/>
        <v>0</v>
      </c>
      <c r="AN8" s="11">
        <f t="shared" si="4"/>
        <v>0</v>
      </c>
      <c r="AO8" s="11">
        <f t="shared" si="5"/>
        <v>0</v>
      </c>
      <c r="AP8" s="11">
        <f t="shared" si="6"/>
        <v>0</v>
      </c>
      <c r="AQ8" s="11">
        <f t="shared" si="7"/>
        <v>0</v>
      </c>
      <c r="AR8" s="11">
        <f t="shared" si="8"/>
        <v>0</v>
      </c>
      <c r="AS8" s="11">
        <f t="shared" si="9"/>
        <v>0</v>
      </c>
      <c r="AT8" s="11">
        <f t="shared" si="10"/>
        <v>0</v>
      </c>
      <c r="AU8" s="11">
        <f t="shared" si="11"/>
        <v>20</v>
      </c>
    </row>
    <row r="9" spans="2:48" x14ac:dyDescent="0.35">
      <c r="B9" s="4" t="s">
        <v>38</v>
      </c>
      <c r="C9" s="4" t="s">
        <v>48</v>
      </c>
      <c r="D9" s="9"/>
      <c r="E9" s="7" t="s">
        <v>22</v>
      </c>
      <c r="F9" s="7" t="s">
        <v>22</v>
      </c>
      <c r="G9" s="7" t="s">
        <v>22</v>
      </c>
      <c r="H9" s="7" t="s">
        <v>22</v>
      </c>
      <c r="I9" s="7" t="s">
        <v>22</v>
      </c>
      <c r="J9" s="9"/>
      <c r="K9" s="9"/>
      <c r="L9" s="7" t="s">
        <v>22</v>
      </c>
      <c r="M9" s="7" t="s">
        <v>22</v>
      </c>
      <c r="N9" s="7" t="s">
        <v>22</v>
      </c>
      <c r="O9" s="7" t="s">
        <v>22</v>
      </c>
      <c r="P9" s="7" t="s">
        <v>22</v>
      </c>
      <c r="Q9" s="8"/>
      <c r="R9" s="9"/>
      <c r="S9" s="7" t="s">
        <v>22</v>
      </c>
      <c r="T9" s="7" t="s">
        <v>22</v>
      </c>
      <c r="U9" s="7" t="s">
        <v>22</v>
      </c>
      <c r="V9" s="7" t="s">
        <v>22</v>
      </c>
      <c r="W9" s="7" t="s">
        <v>32</v>
      </c>
      <c r="X9" s="8"/>
      <c r="Y9" s="8"/>
      <c r="Z9" s="7" t="s">
        <v>22</v>
      </c>
      <c r="AA9" s="7" t="s">
        <v>22</v>
      </c>
      <c r="AB9" s="7" t="s">
        <v>22</v>
      </c>
      <c r="AC9" s="7" t="s">
        <v>22</v>
      </c>
      <c r="AD9" s="7" t="s">
        <v>22</v>
      </c>
      <c r="AE9" s="8"/>
      <c r="AF9" s="8"/>
      <c r="AG9" s="7"/>
      <c r="AH9" s="8"/>
      <c r="AI9" s="8"/>
      <c r="AJ9" s="61">
        <f t="shared" si="0"/>
        <v>19</v>
      </c>
      <c r="AK9" s="11">
        <f t="shared" si="1"/>
        <v>0</v>
      </c>
      <c r="AL9" s="11">
        <f t="shared" si="2"/>
        <v>0</v>
      </c>
      <c r="AM9" s="11">
        <f t="shared" si="3"/>
        <v>0</v>
      </c>
      <c r="AN9" s="11">
        <f t="shared" si="4"/>
        <v>0</v>
      </c>
      <c r="AO9" s="11">
        <f t="shared" si="5"/>
        <v>0</v>
      </c>
      <c r="AP9" s="11">
        <f t="shared" si="6"/>
        <v>0</v>
      </c>
      <c r="AQ9" s="11">
        <f t="shared" si="7"/>
        <v>0</v>
      </c>
      <c r="AR9" s="11">
        <f t="shared" si="8"/>
        <v>0</v>
      </c>
      <c r="AS9" s="11">
        <f t="shared" si="9"/>
        <v>0</v>
      </c>
      <c r="AT9" s="11">
        <f t="shared" si="10"/>
        <v>1</v>
      </c>
      <c r="AU9" s="11">
        <f t="shared" si="11"/>
        <v>20</v>
      </c>
    </row>
    <row r="10" spans="2:48" x14ac:dyDescent="0.35">
      <c r="B10" s="4" t="s">
        <v>39</v>
      </c>
      <c r="C10" s="4" t="s">
        <v>49</v>
      </c>
      <c r="D10" s="9"/>
      <c r="E10" s="7" t="s">
        <v>22</v>
      </c>
      <c r="F10" s="7" t="s">
        <v>22</v>
      </c>
      <c r="G10" s="7" t="s">
        <v>22</v>
      </c>
      <c r="H10" s="7" t="s">
        <v>22</v>
      </c>
      <c r="I10" s="7" t="s">
        <v>22</v>
      </c>
      <c r="J10" s="9"/>
      <c r="K10" s="9"/>
      <c r="L10" s="7" t="s">
        <v>22</v>
      </c>
      <c r="M10" s="7" t="s">
        <v>22</v>
      </c>
      <c r="N10" s="7" t="s">
        <v>22</v>
      </c>
      <c r="O10" s="7" t="s">
        <v>22</v>
      </c>
      <c r="P10" s="7" t="s">
        <v>22</v>
      </c>
      <c r="Q10" s="8"/>
      <c r="R10" s="9"/>
      <c r="S10" s="7" t="s">
        <v>22</v>
      </c>
      <c r="T10" s="7" t="s">
        <v>22</v>
      </c>
      <c r="U10" s="7" t="s">
        <v>22</v>
      </c>
      <c r="V10" s="7" t="s">
        <v>22</v>
      </c>
      <c r="W10" s="7" t="s">
        <v>22</v>
      </c>
      <c r="X10" s="8"/>
      <c r="Y10" s="8"/>
      <c r="Z10" s="7" t="s">
        <v>22</v>
      </c>
      <c r="AA10" s="7" t="s">
        <v>22</v>
      </c>
      <c r="AB10" s="7" t="s">
        <v>22</v>
      </c>
      <c r="AC10" s="7" t="s">
        <v>22</v>
      </c>
      <c r="AD10" s="7" t="s">
        <v>22</v>
      </c>
      <c r="AE10" s="8"/>
      <c r="AF10" s="8"/>
      <c r="AG10" s="7"/>
      <c r="AH10" s="8"/>
      <c r="AI10" s="8"/>
      <c r="AJ10" s="61">
        <f t="shared" si="0"/>
        <v>20</v>
      </c>
      <c r="AK10" s="11">
        <f t="shared" si="1"/>
        <v>0</v>
      </c>
      <c r="AL10" s="11">
        <f t="shared" si="2"/>
        <v>0</v>
      </c>
      <c r="AM10" s="11">
        <f t="shared" si="3"/>
        <v>0</v>
      </c>
      <c r="AN10" s="11">
        <f t="shared" si="4"/>
        <v>0</v>
      </c>
      <c r="AO10" s="11">
        <f t="shared" si="5"/>
        <v>0</v>
      </c>
      <c r="AP10" s="11">
        <f t="shared" si="6"/>
        <v>0</v>
      </c>
      <c r="AQ10" s="11">
        <f t="shared" si="7"/>
        <v>0</v>
      </c>
      <c r="AR10" s="11">
        <f t="shared" si="8"/>
        <v>0</v>
      </c>
      <c r="AS10" s="11">
        <f t="shared" si="9"/>
        <v>0</v>
      </c>
      <c r="AT10" s="11">
        <f t="shared" si="10"/>
        <v>0</v>
      </c>
      <c r="AU10" s="11">
        <f t="shared" si="11"/>
        <v>20</v>
      </c>
    </row>
    <row r="11" spans="2:48" x14ac:dyDescent="0.35">
      <c r="B11" s="4" t="s">
        <v>40</v>
      </c>
      <c r="C11" s="4" t="s">
        <v>50</v>
      </c>
      <c r="D11" s="9"/>
      <c r="E11" s="7" t="s">
        <v>22</v>
      </c>
      <c r="F11" s="7" t="s">
        <v>22</v>
      </c>
      <c r="G11" s="7" t="s">
        <v>22</v>
      </c>
      <c r="H11" s="7" t="s">
        <v>22</v>
      </c>
      <c r="I11" s="7" t="s">
        <v>22</v>
      </c>
      <c r="J11" s="9"/>
      <c r="K11" s="9"/>
      <c r="L11" s="7" t="s">
        <v>22</v>
      </c>
      <c r="M11" s="7" t="s">
        <v>22</v>
      </c>
      <c r="N11" s="7" t="s">
        <v>22</v>
      </c>
      <c r="O11" s="7" t="s">
        <v>22</v>
      </c>
      <c r="P11" s="7" t="s">
        <v>22</v>
      </c>
      <c r="Q11" s="8"/>
      <c r="R11" s="9"/>
      <c r="S11" s="7" t="s">
        <v>22</v>
      </c>
      <c r="T11" s="7" t="s">
        <v>22</v>
      </c>
      <c r="U11" s="7" t="s">
        <v>22</v>
      </c>
      <c r="V11" s="7" t="s">
        <v>22</v>
      </c>
      <c r="W11" s="7" t="s">
        <v>32</v>
      </c>
      <c r="X11" s="8"/>
      <c r="Y11" s="8"/>
      <c r="Z11" s="7" t="s">
        <v>22</v>
      </c>
      <c r="AA11" s="7" t="s">
        <v>22</v>
      </c>
      <c r="AB11" s="7" t="s">
        <v>22</v>
      </c>
      <c r="AC11" s="7" t="s">
        <v>22</v>
      </c>
      <c r="AD11" s="7" t="s">
        <v>22</v>
      </c>
      <c r="AE11" s="8"/>
      <c r="AF11" s="8"/>
      <c r="AG11" s="7"/>
      <c r="AH11" s="8"/>
      <c r="AI11" s="8"/>
      <c r="AJ11" s="61">
        <f t="shared" si="0"/>
        <v>19</v>
      </c>
      <c r="AK11" s="11">
        <f t="shared" si="1"/>
        <v>0</v>
      </c>
      <c r="AL11" s="11">
        <f t="shared" si="2"/>
        <v>0</v>
      </c>
      <c r="AM11" s="11">
        <f t="shared" si="3"/>
        <v>0</v>
      </c>
      <c r="AN11" s="11">
        <f t="shared" si="4"/>
        <v>0</v>
      </c>
      <c r="AO11" s="11">
        <f t="shared" si="5"/>
        <v>0</v>
      </c>
      <c r="AP11" s="11">
        <f t="shared" si="6"/>
        <v>0</v>
      </c>
      <c r="AQ11" s="11">
        <f t="shared" si="7"/>
        <v>0</v>
      </c>
      <c r="AR11" s="11">
        <f t="shared" si="8"/>
        <v>0</v>
      </c>
      <c r="AS11" s="11">
        <f t="shared" si="9"/>
        <v>0</v>
      </c>
      <c r="AT11" s="11">
        <f t="shared" si="10"/>
        <v>1</v>
      </c>
      <c r="AU11" s="11">
        <f t="shared" si="11"/>
        <v>20</v>
      </c>
      <c r="AV11" s="109">
        <v>3000000</v>
      </c>
    </row>
    <row r="12" spans="2:48" x14ac:dyDescent="0.35">
      <c r="B12" s="4" t="s">
        <v>41</v>
      </c>
      <c r="C12" s="4" t="s">
        <v>51</v>
      </c>
      <c r="D12" s="9"/>
      <c r="E12" s="7" t="s">
        <v>22</v>
      </c>
      <c r="F12" s="7" t="s">
        <v>22</v>
      </c>
      <c r="G12" s="7" t="s">
        <v>22</v>
      </c>
      <c r="H12" s="7" t="s">
        <v>22</v>
      </c>
      <c r="I12" s="7" t="s">
        <v>22</v>
      </c>
      <c r="J12" s="9"/>
      <c r="K12" s="9"/>
      <c r="L12" s="7" t="s">
        <v>22</v>
      </c>
      <c r="M12" s="7" t="s">
        <v>22</v>
      </c>
      <c r="N12" s="7" t="s">
        <v>22</v>
      </c>
      <c r="O12" s="7" t="s">
        <v>22</v>
      </c>
      <c r="P12" s="7" t="s">
        <v>22</v>
      </c>
      <c r="Q12" s="8"/>
      <c r="R12" s="9"/>
      <c r="S12" s="7" t="s">
        <v>22</v>
      </c>
      <c r="T12" s="7" t="s">
        <v>22</v>
      </c>
      <c r="U12" s="7" t="s">
        <v>22</v>
      </c>
      <c r="V12" s="7" t="s">
        <v>22</v>
      </c>
      <c r="W12" s="7" t="s">
        <v>32</v>
      </c>
      <c r="X12" s="8"/>
      <c r="Y12" s="8"/>
      <c r="Z12" s="7" t="s">
        <v>22</v>
      </c>
      <c r="AA12" s="7" t="s">
        <v>22</v>
      </c>
      <c r="AB12" s="7" t="s">
        <v>22</v>
      </c>
      <c r="AC12" s="7" t="s">
        <v>22</v>
      </c>
      <c r="AD12" s="7" t="s">
        <v>22</v>
      </c>
      <c r="AE12" s="8"/>
      <c r="AF12" s="8"/>
      <c r="AG12" s="8"/>
      <c r="AH12" s="8"/>
      <c r="AI12" s="8"/>
      <c r="AJ12" s="61">
        <f t="shared" si="0"/>
        <v>19</v>
      </c>
      <c r="AK12" s="11">
        <f t="shared" si="1"/>
        <v>0</v>
      </c>
      <c r="AL12" s="11">
        <f t="shared" si="2"/>
        <v>0</v>
      </c>
      <c r="AM12" s="11">
        <f t="shared" si="3"/>
        <v>0</v>
      </c>
      <c r="AN12" s="11">
        <f t="shared" si="4"/>
        <v>0</v>
      </c>
      <c r="AO12" s="11">
        <f t="shared" si="5"/>
        <v>0</v>
      </c>
      <c r="AP12" s="11">
        <f t="shared" si="6"/>
        <v>0</v>
      </c>
      <c r="AQ12" s="11">
        <f t="shared" si="7"/>
        <v>0</v>
      </c>
      <c r="AR12" s="11">
        <f t="shared" si="8"/>
        <v>0</v>
      </c>
      <c r="AS12" s="11">
        <f t="shared" si="9"/>
        <v>0</v>
      </c>
      <c r="AT12" s="11">
        <f t="shared" si="10"/>
        <v>1</v>
      </c>
      <c r="AU12" s="11">
        <f t="shared" si="11"/>
        <v>20</v>
      </c>
    </row>
    <row r="13" spans="2:48" x14ac:dyDescent="0.35">
      <c r="B13" s="4" t="s">
        <v>42</v>
      </c>
      <c r="C13" s="4" t="s">
        <v>52</v>
      </c>
      <c r="D13" s="9"/>
      <c r="E13" s="7" t="s">
        <v>22</v>
      </c>
      <c r="F13" s="7" t="s">
        <v>22</v>
      </c>
      <c r="G13" s="7" t="s">
        <v>22</v>
      </c>
      <c r="H13" s="7" t="s">
        <v>22</v>
      </c>
      <c r="I13" s="7" t="s">
        <v>22</v>
      </c>
      <c r="J13" s="9"/>
      <c r="K13" s="9"/>
      <c r="L13" s="7" t="s">
        <v>22</v>
      </c>
      <c r="M13" s="7" t="s">
        <v>22</v>
      </c>
      <c r="N13" s="7" t="s">
        <v>22</v>
      </c>
      <c r="O13" s="7" t="s">
        <v>22</v>
      </c>
      <c r="P13" s="7" t="s">
        <v>22</v>
      </c>
      <c r="Q13" s="8"/>
      <c r="R13" s="9"/>
      <c r="S13" s="7" t="s">
        <v>22</v>
      </c>
      <c r="T13" s="7" t="s">
        <v>22</v>
      </c>
      <c r="U13" s="7" t="s">
        <v>22</v>
      </c>
      <c r="V13" s="7" t="s">
        <v>22</v>
      </c>
      <c r="W13" s="7" t="s">
        <v>32</v>
      </c>
      <c r="X13" s="8"/>
      <c r="Y13" s="8"/>
      <c r="Z13" s="7" t="s">
        <v>22</v>
      </c>
      <c r="AA13" s="7" t="s">
        <v>22</v>
      </c>
      <c r="AB13" s="7" t="s">
        <v>22</v>
      </c>
      <c r="AC13" s="7" t="s">
        <v>22</v>
      </c>
      <c r="AD13" s="7" t="s">
        <v>22</v>
      </c>
      <c r="AE13" s="8"/>
      <c r="AF13" s="8"/>
      <c r="AG13" s="7"/>
      <c r="AH13" s="8"/>
      <c r="AI13" s="8"/>
      <c r="AJ13" s="61">
        <f t="shared" si="0"/>
        <v>19</v>
      </c>
      <c r="AK13" s="11">
        <f t="shared" si="1"/>
        <v>0</v>
      </c>
      <c r="AL13" s="11">
        <f t="shared" si="2"/>
        <v>0</v>
      </c>
      <c r="AM13" s="11">
        <f t="shared" si="3"/>
        <v>0</v>
      </c>
      <c r="AN13" s="11">
        <f t="shared" si="4"/>
        <v>0</v>
      </c>
      <c r="AO13" s="11">
        <f t="shared" si="5"/>
        <v>0</v>
      </c>
      <c r="AP13" s="11">
        <f t="shared" si="6"/>
        <v>0</v>
      </c>
      <c r="AQ13" s="11">
        <f t="shared" si="7"/>
        <v>0</v>
      </c>
      <c r="AR13" s="11">
        <f t="shared" si="8"/>
        <v>0</v>
      </c>
      <c r="AS13" s="11">
        <f t="shared" si="9"/>
        <v>0</v>
      </c>
      <c r="AT13" s="11">
        <f t="shared" si="10"/>
        <v>1</v>
      </c>
      <c r="AU13" s="11">
        <f t="shared" si="11"/>
        <v>20</v>
      </c>
    </row>
    <row r="17" spans="27:28" x14ac:dyDescent="0.35">
      <c r="AA17" s="111"/>
      <c r="AB17" s="112"/>
    </row>
  </sheetData>
  <phoneticPr fontId="3" type="noConversion"/>
  <conditionalFormatting sqref="C4:AI13">
    <cfRule type="containsText" dxfId="26" priority="7" operator="containsText" text="SL">
      <formula>NOT(ISERROR(SEARCH("SL",C4)))</formula>
    </cfRule>
  </conditionalFormatting>
  <conditionalFormatting sqref="D3:AI13">
    <cfRule type="containsText" dxfId="25" priority="6" operator="containsText" text="TR">
      <formula>NOT(ISERROR(SEARCH("TR",D3)))</formula>
    </cfRule>
  </conditionalFormatting>
  <conditionalFormatting sqref="D4:AI13">
    <cfRule type="containsText" dxfId="24" priority="1" operator="containsText" text="ML">
      <formula>NOT(ISERROR(SEARCH("ML",D4)))</formula>
    </cfRule>
    <cfRule type="beginsWith" dxfId="23" priority="2" operator="beginsWith" text="AB">
      <formula>LEFT(D4,LEN("AB"))="AB"</formula>
    </cfRule>
    <cfRule type="beginsWith" dxfId="22" priority="3" operator="beginsWith" text="H">
      <formula>LEFT(D4,LEN("H"))="H"</formula>
    </cfRule>
    <cfRule type="containsText" dxfId="21" priority="4" operator="containsText" text="PL">
      <formula>NOT(ISERROR(SEARCH("PL",D4)))</formula>
    </cfRule>
    <cfRule type="containsText" dxfId="20" priority="5" operator="containsText" text="WFH">
      <formula>NOT(ISERROR(SEARCH("WFH",D4)))</formula>
    </cfRule>
  </conditionalFormatting>
  <conditionalFormatting sqref="D4:AU13">
    <cfRule type="containsText" dxfId="19" priority="8" operator="containsText" text="AL">
      <formula>NOT(ISERROR(SEARCH("AL",D4)))</formula>
    </cfRule>
    <cfRule type="containsText" dxfId="18" priority="9" operator="containsText" text="P">
      <formula>NOT(ISERROR(SEARCH("P",D4)))</formula>
    </cfRule>
  </conditionalFormatting>
  <dataValidations count="1">
    <dataValidation type="list" allowBlank="1" showInputMessage="1" showErrorMessage="1" sqref="D4:AI13" xr:uid="{8FDD2C16-CEA1-4B0D-BB86-36A43DF3FFB0}">
      <formula1>$AJ$3:$AT$3</formula1>
    </dataValidation>
  </dataValidations>
  <pageMargins left="0.7" right="0.7" top="0.75" bottom="0.75" header="0.3" footer="0.3"/>
  <pageSetup paperSize="9" orientation="landscape" horizontalDpi="203" verticalDpi="20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03449-1F1A-4D96-8CE1-40CDE090BD57}">
  <sheetPr codeName="Sheet14"/>
  <dimension ref="B2:AV14"/>
  <sheetViews>
    <sheetView zoomScaleNormal="100" workbookViewId="0">
      <pane xSplit="3" ySplit="3" topLeftCell="D4" activePane="bottomRight" state="frozen"/>
      <selection pane="topRight" activeCell="D1" sqref="D1"/>
      <selection pane="bottomLeft" activeCell="A3" sqref="A3"/>
      <selection pane="bottomRight" activeCell="AV11" sqref="AV11"/>
    </sheetView>
  </sheetViews>
  <sheetFormatPr defaultRowHeight="14.5" x14ac:dyDescent="0.35"/>
  <cols>
    <col min="1" max="1" width="3.81640625" customWidth="1"/>
    <col min="2" max="2" width="22.1796875" bestFit="1" customWidth="1"/>
    <col min="3" max="3" width="9.81640625" bestFit="1" customWidth="1"/>
    <col min="4" max="4" width="6.1796875" customWidth="1"/>
    <col min="5" max="5" width="5.7265625" customWidth="1"/>
    <col min="6" max="6" width="6.1796875" customWidth="1"/>
    <col min="7" max="8" width="5.81640625" customWidth="1"/>
    <col min="9" max="9" width="6" customWidth="1"/>
    <col min="10" max="10" width="5.453125" customWidth="1"/>
    <col min="11" max="11" width="5.7265625" customWidth="1"/>
    <col min="12" max="12" width="5.81640625" customWidth="1"/>
    <col min="13" max="13" width="5.54296875" customWidth="1"/>
    <col min="14" max="17" width="5.26953125" customWidth="1"/>
    <col min="18" max="18" width="5.7265625" customWidth="1"/>
    <col min="19" max="35" width="5.81640625" customWidth="1"/>
    <col min="36" max="36" width="4.81640625" style="62" customWidth="1"/>
    <col min="37" max="44" width="4.81640625" bestFit="1" customWidth="1"/>
    <col min="45" max="45" width="5" bestFit="1" customWidth="1"/>
    <col min="46" max="47" width="4.81640625" bestFit="1" customWidth="1"/>
    <col min="48" max="48" width="10.7265625" style="109" bestFit="1" customWidth="1"/>
  </cols>
  <sheetData>
    <row r="2" spans="2:48" ht="57.65" customHeight="1" x14ac:dyDescent="0.35">
      <c r="B2" s="13" t="s">
        <v>0</v>
      </c>
      <c r="C2" s="58">
        <v>46054</v>
      </c>
      <c r="D2" s="2">
        <v>45689</v>
      </c>
      <c r="E2" s="2">
        <v>45690</v>
      </c>
      <c r="F2" s="2">
        <v>45691</v>
      </c>
      <c r="G2" s="2">
        <v>45692</v>
      </c>
      <c r="H2" s="2">
        <v>45693</v>
      </c>
      <c r="I2" s="2">
        <v>45694</v>
      </c>
      <c r="J2" s="2">
        <v>45695</v>
      </c>
      <c r="K2" s="2">
        <v>45696</v>
      </c>
      <c r="L2" s="2">
        <v>45697</v>
      </c>
      <c r="M2" s="2">
        <v>45698</v>
      </c>
      <c r="N2" s="2">
        <v>45699</v>
      </c>
      <c r="O2" s="2">
        <v>45700</v>
      </c>
      <c r="P2" s="2">
        <v>45701</v>
      </c>
      <c r="Q2" s="2">
        <v>45702</v>
      </c>
      <c r="R2" s="2">
        <v>45703</v>
      </c>
      <c r="S2" s="2">
        <v>45704</v>
      </c>
      <c r="T2" s="2">
        <v>45705</v>
      </c>
      <c r="U2" s="2">
        <v>45706</v>
      </c>
      <c r="V2" s="2">
        <v>45707</v>
      </c>
      <c r="W2" s="2">
        <v>45708</v>
      </c>
      <c r="X2" s="2">
        <v>45709</v>
      </c>
      <c r="Y2" s="2">
        <v>45710</v>
      </c>
      <c r="Z2" s="2">
        <v>45711</v>
      </c>
      <c r="AA2" s="2">
        <v>45712</v>
      </c>
      <c r="AB2" s="2">
        <v>45713</v>
      </c>
      <c r="AC2" s="2">
        <v>45714</v>
      </c>
      <c r="AD2" s="2">
        <v>45715</v>
      </c>
      <c r="AE2" s="2">
        <v>45716</v>
      </c>
      <c r="AF2" s="2"/>
      <c r="AG2" s="2"/>
      <c r="AH2" s="2"/>
      <c r="AI2" s="2"/>
      <c r="AJ2" s="12" t="s">
        <v>1</v>
      </c>
      <c r="AK2" s="12" t="s">
        <v>2</v>
      </c>
      <c r="AL2" s="12" t="s">
        <v>3</v>
      </c>
      <c r="AM2" s="12" t="s">
        <v>4</v>
      </c>
      <c r="AN2" s="12" t="s">
        <v>5</v>
      </c>
      <c r="AO2" s="12" t="s">
        <v>6</v>
      </c>
      <c r="AP2" s="12" t="s">
        <v>7</v>
      </c>
      <c r="AQ2" s="12" t="s">
        <v>8</v>
      </c>
      <c r="AR2" s="12" t="s">
        <v>9</v>
      </c>
      <c r="AS2" s="12" t="s">
        <v>10</v>
      </c>
      <c r="AT2" s="12" t="s">
        <v>11</v>
      </c>
      <c r="AU2" s="12" t="s">
        <v>12</v>
      </c>
    </row>
    <row r="3" spans="2:48" ht="32.25" customHeight="1" x14ac:dyDescent="0.35">
      <c r="B3" s="1" t="s">
        <v>13</v>
      </c>
      <c r="C3" s="1" t="s">
        <v>14</v>
      </c>
      <c r="D3" s="93" t="s">
        <v>20</v>
      </c>
      <c r="E3" s="3" t="s">
        <v>21</v>
      </c>
      <c r="F3" s="3" t="s">
        <v>15</v>
      </c>
      <c r="G3" s="3" t="s">
        <v>16</v>
      </c>
      <c r="H3" s="3" t="s">
        <v>17</v>
      </c>
      <c r="I3" s="3" t="s">
        <v>18</v>
      </c>
      <c r="J3" s="93" t="s">
        <v>19</v>
      </c>
      <c r="K3" s="93" t="s">
        <v>20</v>
      </c>
      <c r="L3" s="3" t="s">
        <v>21</v>
      </c>
      <c r="M3" s="3" t="s">
        <v>15</v>
      </c>
      <c r="N3" s="3" t="s">
        <v>16</v>
      </c>
      <c r="O3" s="3" t="s">
        <v>17</v>
      </c>
      <c r="P3" s="3" t="s">
        <v>18</v>
      </c>
      <c r="Q3" s="93" t="s">
        <v>19</v>
      </c>
      <c r="R3" s="93" t="s">
        <v>20</v>
      </c>
      <c r="S3" s="93" t="s">
        <v>21</v>
      </c>
      <c r="T3" s="3" t="s">
        <v>15</v>
      </c>
      <c r="U3" s="3" t="s">
        <v>16</v>
      </c>
      <c r="V3" s="3" t="s">
        <v>17</v>
      </c>
      <c r="W3" s="3" t="s">
        <v>18</v>
      </c>
      <c r="X3" s="93" t="s">
        <v>19</v>
      </c>
      <c r="Y3" s="93" t="s">
        <v>20</v>
      </c>
      <c r="Z3" s="3" t="s">
        <v>21</v>
      </c>
      <c r="AA3" s="3" t="s">
        <v>15</v>
      </c>
      <c r="AB3" s="3" t="s">
        <v>16</v>
      </c>
      <c r="AC3" s="3" t="s">
        <v>17</v>
      </c>
      <c r="AD3" s="3" t="s">
        <v>18</v>
      </c>
      <c r="AE3" s="93" t="s">
        <v>19</v>
      </c>
      <c r="AF3" s="3"/>
      <c r="AG3" s="10"/>
      <c r="AH3" s="10"/>
      <c r="AI3" s="10"/>
      <c r="AJ3" s="6" t="s">
        <v>22</v>
      </c>
      <c r="AK3" s="6" t="s">
        <v>53</v>
      </c>
      <c r="AL3" s="6" t="s">
        <v>91</v>
      </c>
      <c r="AM3" s="6" t="s">
        <v>25</v>
      </c>
      <c r="AN3" s="6" t="s">
        <v>26</v>
      </c>
      <c r="AO3" s="6" t="s">
        <v>27</v>
      </c>
      <c r="AP3" s="6" t="s">
        <v>28</v>
      </c>
      <c r="AQ3" s="6" t="s">
        <v>29</v>
      </c>
      <c r="AR3" s="6" t="s">
        <v>30</v>
      </c>
      <c r="AS3" s="6" t="s">
        <v>92</v>
      </c>
      <c r="AT3" s="6" t="s">
        <v>32</v>
      </c>
      <c r="AU3" s="6"/>
    </row>
    <row r="4" spans="2:48" x14ac:dyDescent="0.35">
      <c r="B4" s="4" t="s">
        <v>33</v>
      </c>
      <c r="C4" s="5" t="s">
        <v>43</v>
      </c>
      <c r="D4" s="7"/>
      <c r="E4" s="7" t="s">
        <v>22</v>
      </c>
      <c r="F4" s="7" t="s">
        <v>22</v>
      </c>
      <c r="G4" s="7" t="s">
        <v>22</v>
      </c>
      <c r="H4" s="7" t="s">
        <v>22</v>
      </c>
      <c r="I4" s="7" t="s">
        <v>22</v>
      </c>
      <c r="J4" s="7"/>
      <c r="K4" s="7"/>
      <c r="L4" s="7" t="s">
        <v>22</v>
      </c>
      <c r="M4" s="7" t="s">
        <v>27</v>
      </c>
      <c r="N4" s="8" t="s">
        <v>27</v>
      </c>
      <c r="O4" s="7" t="s">
        <v>27</v>
      </c>
      <c r="P4" s="8" t="s">
        <v>29</v>
      </c>
      <c r="Q4" s="8" t="s">
        <v>29</v>
      </c>
      <c r="R4" s="7" t="s">
        <v>29</v>
      </c>
      <c r="S4" s="7" t="s">
        <v>29</v>
      </c>
      <c r="T4" s="7" t="s">
        <v>29</v>
      </c>
      <c r="U4" s="7" t="s">
        <v>29</v>
      </c>
      <c r="V4" s="7" t="s">
        <v>29</v>
      </c>
      <c r="W4" s="7" t="s">
        <v>29</v>
      </c>
      <c r="X4" s="8" t="s">
        <v>29</v>
      </c>
      <c r="Y4" s="8" t="s">
        <v>29</v>
      </c>
      <c r="Z4" s="7" t="s">
        <v>29</v>
      </c>
      <c r="AA4" s="7" t="s">
        <v>29</v>
      </c>
      <c r="AB4" s="7" t="s">
        <v>29</v>
      </c>
      <c r="AC4" s="7" t="s">
        <v>29</v>
      </c>
      <c r="AD4" s="7" t="s">
        <v>29</v>
      </c>
      <c r="AE4" s="8" t="s">
        <v>29</v>
      </c>
      <c r="AF4" s="8"/>
      <c r="AG4" s="8"/>
      <c r="AH4" s="8"/>
      <c r="AI4" s="8"/>
      <c r="AJ4" s="61">
        <f t="shared" ref="AJ4:AJ13" si="0">COUNTIF(C4:AI4,"P")</f>
        <v>6</v>
      </c>
      <c r="AK4" s="11">
        <f t="shared" ref="AK4:AK13" si="1">COUNTIF(D4:AI4,"A")</f>
        <v>0</v>
      </c>
      <c r="AL4" s="11">
        <f t="shared" ref="AL4:AL13" si="2">COUNTIF(D4:AI4,"H")</f>
        <v>0</v>
      </c>
      <c r="AM4" s="11">
        <f t="shared" ref="AM4:AM13" si="3">COUNTIF(D4:AI4,"TR")</f>
        <v>0</v>
      </c>
      <c r="AN4" s="11">
        <f t="shared" ref="AN4:AN13" si="4">COUNTIF(D4:AI4,"CL")</f>
        <v>0</v>
      </c>
      <c r="AO4" s="11">
        <f t="shared" ref="AO4:AO13" si="5">COUNTIF(D4:AI4,"SL")</f>
        <v>3</v>
      </c>
      <c r="AP4" s="11">
        <f t="shared" ref="AP4:AP13" si="6">COUNTIF(D4:AI4,"AL")</f>
        <v>0</v>
      </c>
      <c r="AQ4" s="11">
        <f t="shared" ref="AQ4:AQ13" si="7">COUNTIF(D4:AI4,"ML")</f>
        <v>16</v>
      </c>
      <c r="AR4" s="11">
        <f t="shared" ref="AR4:AR13" si="8">COUNTIF(D4:AI4,"PL")</f>
        <v>0</v>
      </c>
      <c r="AS4" s="11">
        <f t="shared" ref="AS4:AS13" si="9">COUNTIF(D4:AI4,"WFH")</f>
        <v>0</v>
      </c>
      <c r="AT4" s="11">
        <f t="shared" ref="AT4:AT13" si="10">COUNTIF(D4:AI4,"NH")</f>
        <v>0</v>
      </c>
      <c r="AU4" s="11">
        <f>SUM(AJ4:AT4)</f>
        <v>25</v>
      </c>
    </row>
    <row r="5" spans="2:48" x14ac:dyDescent="0.35">
      <c r="B5" s="4" t="s">
        <v>34</v>
      </c>
      <c r="C5" s="4" t="s">
        <v>44</v>
      </c>
      <c r="D5" s="7"/>
      <c r="E5" s="7" t="s">
        <v>22</v>
      </c>
      <c r="F5" s="7" t="s">
        <v>22</v>
      </c>
      <c r="G5" s="7" t="s">
        <v>22</v>
      </c>
      <c r="H5" s="7" t="s">
        <v>22</v>
      </c>
      <c r="I5" s="7" t="s">
        <v>22</v>
      </c>
      <c r="J5" s="7"/>
      <c r="K5" s="7"/>
      <c r="L5" s="7" t="s">
        <v>22</v>
      </c>
      <c r="M5" s="7" t="s">
        <v>22</v>
      </c>
      <c r="N5" s="8" t="s">
        <v>22</v>
      </c>
      <c r="O5" s="7" t="s">
        <v>22</v>
      </c>
      <c r="P5" s="8" t="s">
        <v>22</v>
      </c>
      <c r="Q5" s="8"/>
      <c r="R5" s="7"/>
      <c r="S5" s="7" t="s">
        <v>32</v>
      </c>
      <c r="T5" s="7" t="s">
        <v>22</v>
      </c>
      <c r="U5" s="7" t="s">
        <v>22</v>
      </c>
      <c r="V5" s="7" t="s">
        <v>22</v>
      </c>
      <c r="W5" s="7" t="s">
        <v>22</v>
      </c>
      <c r="X5" s="8"/>
      <c r="Y5" s="8"/>
      <c r="Z5" s="7" t="s">
        <v>22</v>
      </c>
      <c r="AA5" s="7" t="s">
        <v>22</v>
      </c>
      <c r="AB5" s="7" t="s">
        <v>22</v>
      </c>
      <c r="AC5" s="7" t="s">
        <v>22</v>
      </c>
      <c r="AD5" s="7" t="s">
        <v>22</v>
      </c>
      <c r="AE5" s="8"/>
      <c r="AF5" s="8"/>
      <c r="AG5" s="8"/>
      <c r="AH5" s="8"/>
      <c r="AI5" s="8"/>
      <c r="AJ5" s="61">
        <f t="shared" si="0"/>
        <v>19</v>
      </c>
      <c r="AK5" s="11">
        <f t="shared" si="1"/>
        <v>0</v>
      </c>
      <c r="AL5" s="11">
        <f t="shared" si="2"/>
        <v>0</v>
      </c>
      <c r="AM5" s="11">
        <f t="shared" si="3"/>
        <v>0</v>
      </c>
      <c r="AN5" s="11">
        <f t="shared" si="4"/>
        <v>0</v>
      </c>
      <c r="AO5" s="11">
        <f t="shared" si="5"/>
        <v>0</v>
      </c>
      <c r="AP5" s="11">
        <f t="shared" si="6"/>
        <v>0</v>
      </c>
      <c r="AQ5" s="11">
        <f t="shared" si="7"/>
        <v>0</v>
      </c>
      <c r="AR5" s="11">
        <f t="shared" si="8"/>
        <v>0</v>
      </c>
      <c r="AS5" s="11">
        <f t="shared" si="9"/>
        <v>0</v>
      </c>
      <c r="AT5" s="11">
        <f t="shared" si="10"/>
        <v>1</v>
      </c>
      <c r="AU5" s="11">
        <f t="shared" ref="AU5:AU13" si="11">SUM(AJ5:AT5)</f>
        <v>20</v>
      </c>
    </row>
    <row r="6" spans="2:48" x14ac:dyDescent="0.35">
      <c r="B6" s="4" t="s">
        <v>35</v>
      </c>
      <c r="C6" s="4" t="s">
        <v>45</v>
      </c>
      <c r="D6" s="9"/>
      <c r="E6" s="7" t="s">
        <v>22</v>
      </c>
      <c r="F6" s="7" t="s">
        <v>22</v>
      </c>
      <c r="G6" s="7" t="s">
        <v>22</v>
      </c>
      <c r="H6" s="7" t="s">
        <v>22</v>
      </c>
      <c r="I6" s="7" t="s">
        <v>22</v>
      </c>
      <c r="J6" s="9"/>
      <c r="K6" s="9"/>
      <c r="L6" s="7" t="s">
        <v>22</v>
      </c>
      <c r="M6" s="7" t="s">
        <v>22</v>
      </c>
      <c r="N6" s="8" t="s">
        <v>22</v>
      </c>
      <c r="O6" s="7" t="s">
        <v>22</v>
      </c>
      <c r="P6" s="8" t="s">
        <v>22</v>
      </c>
      <c r="Q6" s="8"/>
      <c r="R6" s="9"/>
      <c r="S6" s="7" t="s">
        <v>32</v>
      </c>
      <c r="T6" s="7" t="s">
        <v>22</v>
      </c>
      <c r="U6" s="7" t="s">
        <v>22</v>
      </c>
      <c r="V6" s="7" t="s">
        <v>22</v>
      </c>
      <c r="W6" s="7" t="s">
        <v>22</v>
      </c>
      <c r="X6" s="8"/>
      <c r="Y6" s="8"/>
      <c r="Z6" s="7" t="s">
        <v>22</v>
      </c>
      <c r="AA6" s="7" t="s">
        <v>22</v>
      </c>
      <c r="AB6" s="7" t="s">
        <v>22</v>
      </c>
      <c r="AC6" s="7" t="s">
        <v>22</v>
      </c>
      <c r="AD6" s="7" t="s">
        <v>22</v>
      </c>
      <c r="AE6" s="8"/>
      <c r="AF6" s="8"/>
      <c r="AG6" s="8"/>
      <c r="AH6" s="8"/>
      <c r="AI6" s="8"/>
      <c r="AJ6" s="61">
        <f t="shared" si="0"/>
        <v>19</v>
      </c>
      <c r="AK6" s="11">
        <f t="shared" si="1"/>
        <v>0</v>
      </c>
      <c r="AL6" s="11">
        <f t="shared" si="2"/>
        <v>0</v>
      </c>
      <c r="AM6" s="11">
        <f t="shared" si="3"/>
        <v>0</v>
      </c>
      <c r="AN6" s="11">
        <f t="shared" si="4"/>
        <v>0</v>
      </c>
      <c r="AO6" s="11">
        <f t="shared" si="5"/>
        <v>0</v>
      </c>
      <c r="AP6" s="11">
        <f t="shared" si="6"/>
        <v>0</v>
      </c>
      <c r="AQ6" s="11">
        <f t="shared" si="7"/>
        <v>0</v>
      </c>
      <c r="AR6" s="11">
        <f t="shared" si="8"/>
        <v>0</v>
      </c>
      <c r="AS6" s="11">
        <f t="shared" si="9"/>
        <v>0</v>
      </c>
      <c r="AT6" s="11">
        <f t="shared" si="10"/>
        <v>1</v>
      </c>
      <c r="AU6" s="11">
        <f t="shared" si="11"/>
        <v>20</v>
      </c>
    </row>
    <row r="7" spans="2:48" x14ac:dyDescent="0.35">
      <c r="B7" s="4" t="s">
        <v>36</v>
      </c>
      <c r="C7" s="4" t="s">
        <v>46</v>
      </c>
      <c r="D7" s="9"/>
      <c r="E7" s="7" t="s">
        <v>22</v>
      </c>
      <c r="F7" s="7" t="s">
        <v>22</v>
      </c>
      <c r="G7" s="7" t="s">
        <v>22</v>
      </c>
      <c r="H7" s="7" t="s">
        <v>22</v>
      </c>
      <c r="I7" s="7" t="s">
        <v>22</v>
      </c>
      <c r="J7" s="9"/>
      <c r="K7" s="9"/>
      <c r="L7" s="7" t="s">
        <v>22</v>
      </c>
      <c r="M7" s="7" t="s">
        <v>22</v>
      </c>
      <c r="N7" s="8" t="s">
        <v>22</v>
      </c>
      <c r="O7" s="7" t="s">
        <v>22</v>
      </c>
      <c r="P7" s="8" t="s">
        <v>22</v>
      </c>
      <c r="Q7" s="8"/>
      <c r="R7" s="9"/>
      <c r="S7" s="7" t="s">
        <v>32</v>
      </c>
      <c r="T7" s="7" t="s">
        <v>22</v>
      </c>
      <c r="U7" s="7" t="s">
        <v>22</v>
      </c>
      <c r="V7" s="7" t="s">
        <v>22</v>
      </c>
      <c r="W7" s="7" t="s">
        <v>22</v>
      </c>
      <c r="X7" s="8"/>
      <c r="Y7" s="8"/>
      <c r="Z7" s="7" t="s">
        <v>22</v>
      </c>
      <c r="AA7" s="7" t="s">
        <v>22</v>
      </c>
      <c r="AB7" s="7" t="s">
        <v>22</v>
      </c>
      <c r="AC7" s="7" t="s">
        <v>22</v>
      </c>
      <c r="AD7" s="7" t="s">
        <v>22</v>
      </c>
      <c r="AE7" s="8"/>
      <c r="AF7" s="8"/>
      <c r="AG7" s="8"/>
      <c r="AH7" s="8"/>
      <c r="AI7" s="8"/>
      <c r="AJ7" s="61">
        <f t="shared" si="0"/>
        <v>19</v>
      </c>
      <c r="AK7" s="11">
        <f t="shared" si="1"/>
        <v>0</v>
      </c>
      <c r="AL7" s="11">
        <f t="shared" si="2"/>
        <v>0</v>
      </c>
      <c r="AM7" s="11">
        <f t="shared" si="3"/>
        <v>0</v>
      </c>
      <c r="AN7" s="11">
        <f t="shared" si="4"/>
        <v>0</v>
      </c>
      <c r="AO7" s="11">
        <f t="shared" si="5"/>
        <v>0</v>
      </c>
      <c r="AP7" s="11">
        <f t="shared" si="6"/>
        <v>0</v>
      </c>
      <c r="AQ7" s="11">
        <f t="shared" si="7"/>
        <v>0</v>
      </c>
      <c r="AR7" s="11">
        <f t="shared" si="8"/>
        <v>0</v>
      </c>
      <c r="AS7" s="11">
        <f t="shared" si="9"/>
        <v>0</v>
      </c>
      <c r="AT7" s="11">
        <f t="shared" si="10"/>
        <v>1</v>
      </c>
      <c r="AU7" s="11">
        <f t="shared" si="11"/>
        <v>20</v>
      </c>
    </row>
    <row r="8" spans="2:48" x14ac:dyDescent="0.35">
      <c r="B8" s="4" t="s">
        <v>37</v>
      </c>
      <c r="C8" s="4" t="s">
        <v>47</v>
      </c>
      <c r="D8" s="9"/>
      <c r="E8" s="9" t="s">
        <v>22</v>
      </c>
      <c r="F8" s="9" t="s">
        <v>22</v>
      </c>
      <c r="G8" s="9" t="s">
        <v>22</v>
      </c>
      <c r="H8" s="9" t="s">
        <v>22</v>
      </c>
      <c r="I8" s="9" t="s">
        <v>22</v>
      </c>
      <c r="J8" s="9"/>
      <c r="K8" s="9"/>
      <c r="L8" s="9" t="s">
        <v>22</v>
      </c>
      <c r="M8" s="9" t="s">
        <v>22</v>
      </c>
      <c r="N8" s="9" t="s">
        <v>22</v>
      </c>
      <c r="O8" s="9" t="s">
        <v>22</v>
      </c>
      <c r="P8" s="9" t="s">
        <v>22</v>
      </c>
      <c r="Q8" s="8"/>
      <c r="R8" s="9"/>
      <c r="S8" s="7" t="s">
        <v>32</v>
      </c>
      <c r="T8" s="8" t="s">
        <v>22</v>
      </c>
      <c r="U8" s="8" t="s">
        <v>22</v>
      </c>
      <c r="V8" s="8" t="s">
        <v>22</v>
      </c>
      <c r="W8" s="8" t="s">
        <v>22</v>
      </c>
      <c r="X8" s="8"/>
      <c r="Y8" s="8"/>
      <c r="Z8" s="7" t="s">
        <v>22</v>
      </c>
      <c r="AA8" s="7" t="s">
        <v>22</v>
      </c>
      <c r="AB8" s="7" t="s">
        <v>22</v>
      </c>
      <c r="AC8" s="7" t="s">
        <v>22</v>
      </c>
      <c r="AD8" s="7" t="s">
        <v>22</v>
      </c>
      <c r="AE8" s="8"/>
      <c r="AF8" s="8"/>
      <c r="AG8" s="8"/>
      <c r="AH8" s="8"/>
      <c r="AI8" s="8"/>
      <c r="AJ8" s="61">
        <f t="shared" si="0"/>
        <v>19</v>
      </c>
      <c r="AK8" s="11">
        <f t="shared" si="1"/>
        <v>0</v>
      </c>
      <c r="AL8" s="11">
        <f t="shared" si="2"/>
        <v>0</v>
      </c>
      <c r="AM8" s="11">
        <f t="shared" si="3"/>
        <v>0</v>
      </c>
      <c r="AN8" s="11">
        <f t="shared" si="4"/>
        <v>0</v>
      </c>
      <c r="AO8" s="11">
        <f t="shared" si="5"/>
        <v>0</v>
      </c>
      <c r="AP8" s="11">
        <f t="shared" si="6"/>
        <v>0</v>
      </c>
      <c r="AQ8" s="11">
        <f t="shared" si="7"/>
        <v>0</v>
      </c>
      <c r="AR8" s="11">
        <f t="shared" si="8"/>
        <v>0</v>
      </c>
      <c r="AS8" s="11">
        <f t="shared" si="9"/>
        <v>0</v>
      </c>
      <c r="AT8" s="11">
        <f t="shared" si="10"/>
        <v>1</v>
      </c>
      <c r="AU8" s="11">
        <f t="shared" si="11"/>
        <v>20</v>
      </c>
    </row>
    <row r="9" spans="2:48" x14ac:dyDescent="0.35">
      <c r="B9" s="4" t="s">
        <v>38</v>
      </c>
      <c r="C9" s="4" t="s">
        <v>48</v>
      </c>
      <c r="D9" s="9"/>
      <c r="E9" s="7" t="s">
        <v>22</v>
      </c>
      <c r="F9" s="7" t="s">
        <v>22</v>
      </c>
      <c r="G9" s="7" t="s">
        <v>27</v>
      </c>
      <c r="H9" s="7" t="s">
        <v>27</v>
      </c>
      <c r="I9" s="7" t="s">
        <v>22</v>
      </c>
      <c r="J9" s="9"/>
      <c r="K9" s="9"/>
      <c r="L9" s="7" t="s">
        <v>22</v>
      </c>
      <c r="M9" s="7" t="s">
        <v>22</v>
      </c>
      <c r="N9" s="8" t="s">
        <v>22</v>
      </c>
      <c r="O9" s="7" t="s">
        <v>22</v>
      </c>
      <c r="P9" s="8" t="s">
        <v>22</v>
      </c>
      <c r="Q9" s="8"/>
      <c r="R9" s="9"/>
      <c r="S9" s="7" t="s">
        <v>32</v>
      </c>
      <c r="T9" s="7" t="s">
        <v>22</v>
      </c>
      <c r="U9" s="7" t="s">
        <v>22</v>
      </c>
      <c r="V9" s="7" t="s">
        <v>22</v>
      </c>
      <c r="W9" s="7" t="s">
        <v>22</v>
      </c>
      <c r="X9" s="8"/>
      <c r="Y9" s="8"/>
      <c r="Z9" s="7" t="s">
        <v>22</v>
      </c>
      <c r="AA9" s="7" t="s">
        <v>22</v>
      </c>
      <c r="AB9" s="7" t="s">
        <v>22</v>
      </c>
      <c r="AC9" s="7" t="s">
        <v>22</v>
      </c>
      <c r="AD9" s="7" t="s">
        <v>22</v>
      </c>
      <c r="AE9" s="8"/>
      <c r="AF9" s="8"/>
      <c r="AG9" s="8"/>
      <c r="AH9" s="8"/>
      <c r="AI9" s="8"/>
      <c r="AJ9" s="61">
        <f t="shared" si="0"/>
        <v>17</v>
      </c>
      <c r="AK9" s="11">
        <f t="shared" si="1"/>
        <v>0</v>
      </c>
      <c r="AL9" s="11">
        <f t="shared" si="2"/>
        <v>0</v>
      </c>
      <c r="AM9" s="11">
        <f t="shared" si="3"/>
        <v>0</v>
      </c>
      <c r="AN9" s="11">
        <f t="shared" si="4"/>
        <v>0</v>
      </c>
      <c r="AO9" s="11">
        <f t="shared" si="5"/>
        <v>2</v>
      </c>
      <c r="AP9" s="11">
        <f t="shared" si="6"/>
        <v>0</v>
      </c>
      <c r="AQ9" s="11">
        <f t="shared" si="7"/>
        <v>0</v>
      </c>
      <c r="AR9" s="11">
        <f t="shared" si="8"/>
        <v>0</v>
      </c>
      <c r="AS9" s="11">
        <f t="shared" si="9"/>
        <v>0</v>
      </c>
      <c r="AT9" s="11">
        <f t="shared" si="10"/>
        <v>1</v>
      </c>
      <c r="AU9" s="11">
        <f t="shared" si="11"/>
        <v>20</v>
      </c>
    </row>
    <row r="10" spans="2:48" x14ac:dyDescent="0.35">
      <c r="B10" s="4" t="s">
        <v>39</v>
      </c>
      <c r="C10" s="4" t="s">
        <v>49</v>
      </c>
      <c r="D10" s="9"/>
      <c r="E10" s="7" t="s">
        <v>22</v>
      </c>
      <c r="F10" s="7" t="s">
        <v>22</v>
      </c>
      <c r="G10" s="7" t="s">
        <v>22</v>
      </c>
      <c r="H10" s="7" t="s">
        <v>22</v>
      </c>
      <c r="I10" s="7" t="s">
        <v>22</v>
      </c>
      <c r="J10" s="9"/>
      <c r="K10" s="9"/>
      <c r="L10" s="7" t="s">
        <v>22</v>
      </c>
      <c r="M10" s="7" t="s">
        <v>22</v>
      </c>
      <c r="N10" s="8" t="s">
        <v>22</v>
      </c>
      <c r="O10" s="7" t="s">
        <v>22</v>
      </c>
      <c r="P10" s="8" t="s">
        <v>22</v>
      </c>
      <c r="Q10" s="8"/>
      <c r="R10" s="9"/>
      <c r="S10" s="7" t="s">
        <v>32</v>
      </c>
      <c r="T10" s="7" t="s">
        <v>22</v>
      </c>
      <c r="U10" s="7" t="s">
        <v>22</v>
      </c>
      <c r="V10" s="7" t="s">
        <v>22</v>
      </c>
      <c r="W10" s="7" t="s">
        <v>22</v>
      </c>
      <c r="X10" s="8"/>
      <c r="Y10" s="8"/>
      <c r="Z10" s="7" t="s">
        <v>22</v>
      </c>
      <c r="AA10" s="7" t="s">
        <v>22</v>
      </c>
      <c r="AB10" s="7" t="s">
        <v>22</v>
      </c>
      <c r="AC10" s="7" t="s">
        <v>22</v>
      </c>
      <c r="AD10" s="7" t="s">
        <v>22</v>
      </c>
      <c r="AE10" s="8"/>
      <c r="AF10" s="8"/>
      <c r="AG10" s="8"/>
      <c r="AH10" s="8"/>
      <c r="AI10" s="8"/>
      <c r="AJ10" s="61">
        <f t="shared" si="0"/>
        <v>19</v>
      </c>
      <c r="AK10" s="11">
        <f t="shared" si="1"/>
        <v>0</v>
      </c>
      <c r="AL10" s="11">
        <f t="shared" si="2"/>
        <v>0</v>
      </c>
      <c r="AM10" s="11">
        <f t="shared" si="3"/>
        <v>0</v>
      </c>
      <c r="AN10" s="11">
        <f t="shared" si="4"/>
        <v>0</v>
      </c>
      <c r="AO10" s="11">
        <f t="shared" si="5"/>
        <v>0</v>
      </c>
      <c r="AP10" s="11">
        <f t="shared" si="6"/>
        <v>0</v>
      </c>
      <c r="AQ10" s="11">
        <f t="shared" si="7"/>
        <v>0</v>
      </c>
      <c r="AR10" s="11">
        <f t="shared" si="8"/>
        <v>0</v>
      </c>
      <c r="AS10" s="11">
        <f t="shared" si="9"/>
        <v>0</v>
      </c>
      <c r="AT10" s="11">
        <f t="shared" si="10"/>
        <v>1</v>
      </c>
      <c r="AU10" s="11">
        <f t="shared" si="11"/>
        <v>20</v>
      </c>
      <c r="AV10" s="109">
        <v>300000</v>
      </c>
    </row>
    <row r="11" spans="2:48" x14ac:dyDescent="0.35">
      <c r="B11" s="4" t="s">
        <v>40</v>
      </c>
      <c r="C11" s="4" t="s">
        <v>50</v>
      </c>
      <c r="D11" s="9"/>
      <c r="E11" s="7" t="s">
        <v>22</v>
      </c>
      <c r="F11" s="7" t="s">
        <v>22</v>
      </c>
      <c r="G11" s="7" t="s">
        <v>22</v>
      </c>
      <c r="H11" s="7" t="s">
        <v>22</v>
      </c>
      <c r="I11" s="7" t="s">
        <v>22</v>
      </c>
      <c r="J11" s="9"/>
      <c r="K11" s="9"/>
      <c r="L11" s="7" t="s">
        <v>22</v>
      </c>
      <c r="M11" s="7" t="s">
        <v>22</v>
      </c>
      <c r="N11" s="8" t="s">
        <v>27</v>
      </c>
      <c r="O11" s="7" t="s">
        <v>22</v>
      </c>
      <c r="P11" s="8" t="s">
        <v>22</v>
      </c>
      <c r="Q11" s="8"/>
      <c r="R11" s="9"/>
      <c r="S11" s="7" t="s">
        <v>32</v>
      </c>
      <c r="T11" s="7" t="s">
        <v>22</v>
      </c>
      <c r="U11" s="7" t="s">
        <v>22</v>
      </c>
      <c r="V11" s="7" t="s">
        <v>22</v>
      </c>
      <c r="W11" s="7" t="s">
        <v>22</v>
      </c>
      <c r="X11" s="8"/>
      <c r="Y11" s="8"/>
      <c r="Z11" s="7" t="s">
        <v>22</v>
      </c>
      <c r="AA11" s="7" t="s">
        <v>22</v>
      </c>
      <c r="AB11" s="7" t="s">
        <v>22</v>
      </c>
      <c r="AC11" s="7" t="s">
        <v>22</v>
      </c>
      <c r="AD11" s="7" t="s">
        <v>22</v>
      </c>
      <c r="AE11" s="8"/>
      <c r="AF11" s="8"/>
      <c r="AG11" s="8"/>
      <c r="AH11" s="8"/>
      <c r="AI11" s="8"/>
      <c r="AJ11" s="61">
        <f t="shared" si="0"/>
        <v>18</v>
      </c>
      <c r="AK11" s="11">
        <f t="shared" si="1"/>
        <v>0</v>
      </c>
      <c r="AL11" s="11">
        <f t="shared" si="2"/>
        <v>0</v>
      </c>
      <c r="AM11" s="11">
        <f t="shared" si="3"/>
        <v>0</v>
      </c>
      <c r="AN11" s="11">
        <f t="shared" si="4"/>
        <v>0</v>
      </c>
      <c r="AO11" s="11">
        <f t="shared" si="5"/>
        <v>1</v>
      </c>
      <c r="AP11" s="11">
        <f t="shared" si="6"/>
        <v>0</v>
      </c>
      <c r="AQ11" s="11">
        <f t="shared" si="7"/>
        <v>0</v>
      </c>
      <c r="AR11" s="11">
        <f t="shared" si="8"/>
        <v>0</v>
      </c>
      <c r="AS11" s="11">
        <f t="shared" si="9"/>
        <v>0</v>
      </c>
      <c r="AT11" s="11">
        <f t="shared" si="10"/>
        <v>1</v>
      </c>
      <c r="AU11" s="11">
        <f t="shared" si="11"/>
        <v>20</v>
      </c>
      <c r="AV11" s="109">
        <v>3600000</v>
      </c>
    </row>
    <row r="12" spans="2:48" x14ac:dyDescent="0.35">
      <c r="B12" s="4" t="s">
        <v>41</v>
      </c>
      <c r="C12" s="4" t="s">
        <v>51</v>
      </c>
      <c r="D12" s="9"/>
      <c r="E12" s="7" t="s">
        <v>22</v>
      </c>
      <c r="F12" s="7" t="s">
        <v>22</v>
      </c>
      <c r="G12" s="7" t="s">
        <v>22</v>
      </c>
      <c r="H12" s="7" t="s">
        <v>22</v>
      </c>
      <c r="I12" s="7" t="s">
        <v>22</v>
      </c>
      <c r="J12" s="9"/>
      <c r="K12" s="9"/>
      <c r="L12" s="7" t="s">
        <v>22</v>
      </c>
      <c r="M12" s="7" t="s">
        <v>22</v>
      </c>
      <c r="N12" s="8" t="s">
        <v>22</v>
      </c>
      <c r="O12" s="7" t="s">
        <v>22</v>
      </c>
      <c r="P12" s="8" t="s">
        <v>22</v>
      </c>
      <c r="Q12" s="8"/>
      <c r="R12" s="9"/>
      <c r="S12" s="7" t="s">
        <v>32</v>
      </c>
      <c r="T12" s="7" t="s">
        <v>22</v>
      </c>
      <c r="U12" s="7" t="s">
        <v>22</v>
      </c>
      <c r="V12" s="7" t="s">
        <v>22</v>
      </c>
      <c r="W12" s="7" t="s">
        <v>22</v>
      </c>
      <c r="X12" s="8"/>
      <c r="Y12" s="8"/>
      <c r="Z12" s="7" t="s">
        <v>22</v>
      </c>
      <c r="AA12" s="7" t="s">
        <v>22</v>
      </c>
      <c r="AB12" s="7" t="s">
        <v>22</v>
      </c>
      <c r="AC12" s="7" t="s">
        <v>22</v>
      </c>
      <c r="AD12" s="7" t="s">
        <v>22</v>
      </c>
      <c r="AE12" s="8"/>
      <c r="AF12" s="8"/>
      <c r="AG12" s="8"/>
      <c r="AH12" s="8"/>
      <c r="AI12" s="8"/>
      <c r="AJ12" s="61">
        <f t="shared" si="0"/>
        <v>19</v>
      </c>
      <c r="AK12" s="11">
        <f t="shared" si="1"/>
        <v>0</v>
      </c>
      <c r="AL12" s="11">
        <f t="shared" si="2"/>
        <v>0</v>
      </c>
      <c r="AM12" s="11">
        <f t="shared" si="3"/>
        <v>0</v>
      </c>
      <c r="AN12" s="11">
        <f t="shared" si="4"/>
        <v>0</v>
      </c>
      <c r="AO12" s="11">
        <f t="shared" si="5"/>
        <v>0</v>
      </c>
      <c r="AP12" s="11">
        <f t="shared" si="6"/>
        <v>0</v>
      </c>
      <c r="AQ12" s="11">
        <f t="shared" si="7"/>
        <v>0</v>
      </c>
      <c r="AR12" s="11">
        <f t="shared" si="8"/>
        <v>0</v>
      </c>
      <c r="AS12" s="11">
        <f t="shared" si="9"/>
        <v>0</v>
      </c>
      <c r="AT12" s="11">
        <f t="shared" si="10"/>
        <v>1</v>
      </c>
      <c r="AU12" s="11">
        <f t="shared" si="11"/>
        <v>20</v>
      </c>
    </row>
    <row r="13" spans="2:48" x14ac:dyDescent="0.35">
      <c r="B13" s="4" t="s">
        <v>42</v>
      </c>
      <c r="C13" s="4" t="s">
        <v>52</v>
      </c>
      <c r="D13" s="9"/>
      <c r="E13" s="7" t="s">
        <v>22</v>
      </c>
      <c r="F13" s="7" t="s">
        <v>22</v>
      </c>
      <c r="G13" s="7" t="s">
        <v>22</v>
      </c>
      <c r="H13" s="7" t="s">
        <v>22</v>
      </c>
      <c r="I13" s="7" t="s">
        <v>22</v>
      </c>
      <c r="J13" s="9"/>
      <c r="K13" s="9"/>
      <c r="L13" s="7" t="s">
        <v>22</v>
      </c>
      <c r="M13" s="7" t="s">
        <v>22</v>
      </c>
      <c r="N13" s="8" t="s">
        <v>22</v>
      </c>
      <c r="O13" s="7" t="s">
        <v>22</v>
      </c>
      <c r="P13" s="7" t="s">
        <v>22</v>
      </c>
      <c r="Q13" s="8"/>
      <c r="R13" s="9"/>
      <c r="S13" s="7" t="s">
        <v>32</v>
      </c>
      <c r="T13" s="7" t="s">
        <v>22</v>
      </c>
      <c r="U13" s="7" t="s">
        <v>22</v>
      </c>
      <c r="V13" s="7" t="s">
        <v>22</v>
      </c>
      <c r="W13" s="7" t="s">
        <v>22</v>
      </c>
      <c r="X13" s="8"/>
      <c r="Y13" s="8"/>
      <c r="Z13" s="7" t="s">
        <v>22</v>
      </c>
      <c r="AA13" s="7" t="s">
        <v>22</v>
      </c>
      <c r="AB13" s="7" t="s">
        <v>22</v>
      </c>
      <c r="AC13" s="7" t="s">
        <v>22</v>
      </c>
      <c r="AD13" s="7" t="s">
        <v>22</v>
      </c>
      <c r="AE13" s="8"/>
      <c r="AF13" s="8"/>
      <c r="AG13" s="8"/>
      <c r="AH13" s="8"/>
      <c r="AI13" s="8"/>
      <c r="AJ13" s="61">
        <f t="shared" si="0"/>
        <v>19</v>
      </c>
      <c r="AK13" s="11">
        <f t="shared" si="1"/>
        <v>0</v>
      </c>
      <c r="AL13" s="11">
        <f t="shared" si="2"/>
        <v>0</v>
      </c>
      <c r="AM13" s="11">
        <f t="shared" si="3"/>
        <v>0</v>
      </c>
      <c r="AN13" s="11">
        <f t="shared" si="4"/>
        <v>0</v>
      </c>
      <c r="AO13" s="11">
        <f t="shared" si="5"/>
        <v>0</v>
      </c>
      <c r="AP13" s="11">
        <f t="shared" si="6"/>
        <v>0</v>
      </c>
      <c r="AQ13" s="11">
        <f t="shared" si="7"/>
        <v>0</v>
      </c>
      <c r="AR13" s="11">
        <f t="shared" si="8"/>
        <v>0</v>
      </c>
      <c r="AS13" s="11">
        <f t="shared" si="9"/>
        <v>0</v>
      </c>
      <c r="AT13" s="11">
        <f t="shared" si="10"/>
        <v>1</v>
      </c>
      <c r="AU13" s="11">
        <f t="shared" si="11"/>
        <v>20</v>
      </c>
    </row>
    <row r="14" spans="2:48" x14ac:dyDescent="0.35">
      <c r="W14" s="63"/>
    </row>
  </sheetData>
  <phoneticPr fontId="3" type="noConversion"/>
  <conditionalFormatting sqref="C4:AI13 W14">
    <cfRule type="containsText" dxfId="17" priority="7" operator="containsText" text="SL">
      <formula>NOT(ISERROR(SEARCH("SL",C4)))</formula>
    </cfRule>
  </conditionalFormatting>
  <conditionalFormatting sqref="D3:AI13 W14">
    <cfRule type="containsText" dxfId="16" priority="6" operator="containsText" text="TR">
      <formula>NOT(ISERROR(SEARCH("TR",D3)))</formula>
    </cfRule>
  </conditionalFormatting>
  <conditionalFormatting sqref="D4:AI13 W14">
    <cfRule type="containsText" dxfId="15" priority="1" operator="containsText" text="ML">
      <formula>NOT(ISERROR(SEARCH("ML",D4)))</formula>
    </cfRule>
    <cfRule type="beginsWith" dxfId="14" priority="2" operator="beginsWith" text="AB">
      <formula>LEFT(D4,LEN("AB"))="AB"</formula>
    </cfRule>
    <cfRule type="beginsWith" dxfId="13" priority="3" operator="beginsWith" text="H">
      <formula>LEFT(D4,LEN("H"))="H"</formula>
    </cfRule>
    <cfRule type="containsText" dxfId="12" priority="4" operator="containsText" text="PL">
      <formula>NOT(ISERROR(SEARCH("PL",D4)))</formula>
    </cfRule>
    <cfRule type="containsText" dxfId="11" priority="5" operator="containsText" text="WFH">
      <formula>NOT(ISERROR(SEARCH("WFH",D4)))</formula>
    </cfRule>
  </conditionalFormatting>
  <conditionalFormatting sqref="D4:AU13 W14">
    <cfRule type="containsText" dxfId="10" priority="8" operator="containsText" text="AL">
      <formula>NOT(ISERROR(SEARCH("AL",D4)))</formula>
    </cfRule>
    <cfRule type="containsText" dxfId="9" priority="9" operator="containsText" text="P">
      <formula>NOT(ISERROR(SEARCH("P",D4)))</formula>
    </cfRule>
  </conditionalFormatting>
  <dataValidations count="1">
    <dataValidation type="list" allowBlank="1" showInputMessage="1" showErrorMessage="1" sqref="D4:AI13" xr:uid="{2EEAB462-4009-42A6-9722-2E927BD397E4}">
      <formula1>$AJ$3:$AT$3</formula1>
    </dataValidation>
  </dataValidations>
  <pageMargins left="0.7" right="0.7" top="0.75" bottom="0.75" header="0.3" footer="0.3"/>
  <pageSetup paperSize="9" orientation="landscape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FBD68-7566-4347-9DBC-36DC1714747C}">
  <sheetPr codeName="Sheet15"/>
  <dimension ref="B2:AX14"/>
  <sheetViews>
    <sheetView zoomScaleNormal="100" workbookViewId="0">
      <pane xSplit="3" ySplit="3" topLeftCell="AA4" activePane="bottomRight" state="frozen"/>
      <selection pane="topRight" activeCell="D1" sqref="D1"/>
      <selection pane="bottomLeft" activeCell="A3" sqref="A3"/>
      <selection pane="bottomRight" activeCell="AX15" sqref="AX15"/>
    </sheetView>
  </sheetViews>
  <sheetFormatPr defaultRowHeight="14.5" x14ac:dyDescent="0.35"/>
  <cols>
    <col min="1" max="1" width="3.81640625" customWidth="1"/>
    <col min="2" max="2" width="22.1796875" bestFit="1" customWidth="1"/>
    <col min="3" max="3" width="9.81640625" bestFit="1" customWidth="1"/>
    <col min="4" max="4" width="5.81640625" customWidth="1"/>
    <col min="5" max="5" width="6" customWidth="1"/>
    <col min="6" max="6" width="5.453125" customWidth="1"/>
    <col min="7" max="7" width="5.7265625" customWidth="1"/>
    <col min="8" max="8" width="5.81640625" customWidth="1"/>
    <col min="9" max="9" width="5.54296875" customWidth="1"/>
    <col min="10" max="13" width="5.26953125" customWidth="1"/>
    <col min="14" max="14" width="5.7265625" customWidth="1"/>
    <col min="15" max="35" width="5.81640625" customWidth="1"/>
    <col min="36" max="36" width="4.81640625" style="62" customWidth="1"/>
    <col min="37" max="44" width="4.81640625" bestFit="1" customWidth="1"/>
    <col min="45" max="45" width="5" bestFit="1" customWidth="1"/>
    <col min="46" max="47" width="4.81640625" bestFit="1" customWidth="1"/>
    <col min="48" max="48" width="11.7265625" bestFit="1" customWidth="1"/>
    <col min="49" max="50" width="13.453125" bestFit="1" customWidth="1"/>
  </cols>
  <sheetData>
    <row r="2" spans="2:50" ht="57.65" customHeight="1" x14ac:dyDescent="0.35">
      <c r="B2" s="13" t="s">
        <v>0</v>
      </c>
      <c r="C2" s="58">
        <v>46023</v>
      </c>
      <c r="D2" s="2">
        <v>45658</v>
      </c>
      <c r="E2" s="2">
        <v>45659</v>
      </c>
      <c r="F2" s="2">
        <v>45660</v>
      </c>
      <c r="G2" s="2">
        <v>45661</v>
      </c>
      <c r="H2" s="2">
        <v>45662</v>
      </c>
      <c r="I2" s="2">
        <v>45663</v>
      </c>
      <c r="J2" s="2">
        <v>45664</v>
      </c>
      <c r="K2" s="2">
        <v>45665</v>
      </c>
      <c r="L2" s="2">
        <v>45666</v>
      </c>
      <c r="M2" s="2">
        <v>45667</v>
      </c>
      <c r="N2" s="2">
        <v>45668</v>
      </c>
      <c r="O2" s="2">
        <v>45669</v>
      </c>
      <c r="P2" s="2">
        <v>45670</v>
      </c>
      <c r="Q2" s="2">
        <v>45671</v>
      </c>
      <c r="R2" s="2">
        <v>45672</v>
      </c>
      <c r="S2" s="2">
        <v>45673</v>
      </c>
      <c r="T2" s="2">
        <v>45674</v>
      </c>
      <c r="U2" s="2">
        <v>45675</v>
      </c>
      <c r="V2" s="2">
        <v>45676</v>
      </c>
      <c r="W2" s="2">
        <v>45677</v>
      </c>
      <c r="X2" s="2">
        <v>45678</v>
      </c>
      <c r="Y2" s="2">
        <v>45679</v>
      </c>
      <c r="Z2" s="2">
        <v>45680</v>
      </c>
      <c r="AA2" s="2">
        <v>45681</v>
      </c>
      <c r="AB2" s="2">
        <v>45682</v>
      </c>
      <c r="AC2" s="2">
        <v>45683</v>
      </c>
      <c r="AD2" s="2">
        <v>45684</v>
      </c>
      <c r="AE2" s="2">
        <v>45685</v>
      </c>
      <c r="AF2" s="2">
        <v>45686</v>
      </c>
      <c r="AG2" s="2">
        <v>45687</v>
      </c>
      <c r="AH2" s="2">
        <v>45688</v>
      </c>
      <c r="AI2" s="2"/>
      <c r="AJ2" s="12" t="s">
        <v>1</v>
      </c>
      <c r="AK2" s="12" t="s">
        <v>2</v>
      </c>
      <c r="AL2" s="12" t="s">
        <v>3</v>
      </c>
      <c r="AM2" s="12" t="s">
        <v>4</v>
      </c>
      <c r="AN2" s="12" t="s">
        <v>5</v>
      </c>
      <c r="AO2" s="12" t="s">
        <v>6</v>
      </c>
      <c r="AP2" s="12" t="s">
        <v>7</v>
      </c>
      <c r="AQ2" s="12" t="s">
        <v>8</v>
      </c>
      <c r="AR2" s="12" t="s">
        <v>9</v>
      </c>
      <c r="AS2" s="12" t="s">
        <v>10</v>
      </c>
      <c r="AT2" s="12" t="s">
        <v>11</v>
      </c>
      <c r="AU2" s="12" t="s">
        <v>12</v>
      </c>
      <c r="AV2" s="101" t="s">
        <v>139</v>
      </c>
      <c r="AW2" s="101" t="s">
        <v>139</v>
      </c>
    </row>
    <row r="3" spans="2:50" ht="32.25" customHeight="1" x14ac:dyDescent="0.35">
      <c r="B3" s="1" t="s">
        <v>13</v>
      </c>
      <c r="C3" s="1" t="s">
        <v>14</v>
      </c>
      <c r="D3" s="3" t="s">
        <v>17</v>
      </c>
      <c r="E3" s="3" t="s">
        <v>18</v>
      </c>
      <c r="F3" s="93" t="s">
        <v>19</v>
      </c>
      <c r="G3" s="93" t="s">
        <v>20</v>
      </c>
      <c r="H3" s="3" t="s">
        <v>21</v>
      </c>
      <c r="I3" s="3" t="s">
        <v>15</v>
      </c>
      <c r="J3" s="3" t="s">
        <v>16</v>
      </c>
      <c r="K3" s="3" t="s">
        <v>17</v>
      </c>
      <c r="L3" s="3" t="s">
        <v>18</v>
      </c>
      <c r="M3" s="93" t="s">
        <v>19</v>
      </c>
      <c r="N3" s="93" t="s">
        <v>20</v>
      </c>
      <c r="O3" s="3" t="s">
        <v>21</v>
      </c>
      <c r="P3" s="3" t="s">
        <v>15</v>
      </c>
      <c r="Q3" s="3" t="s">
        <v>16</v>
      </c>
      <c r="R3" s="3" t="s">
        <v>17</v>
      </c>
      <c r="S3" s="3" t="s">
        <v>18</v>
      </c>
      <c r="T3" s="93" t="s">
        <v>19</v>
      </c>
      <c r="U3" s="93" t="s">
        <v>20</v>
      </c>
      <c r="V3" s="3" t="s">
        <v>21</v>
      </c>
      <c r="W3" s="3" t="s">
        <v>15</v>
      </c>
      <c r="X3" s="3" t="s">
        <v>16</v>
      </c>
      <c r="Y3" s="3" t="s">
        <v>17</v>
      </c>
      <c r="Z3" s="3" t="s">
        <v>18</v>
      </c>
      <c r="AA3" s="93" t="s">
        <v>19</v>
      </c>
      <c r="AB3" s="93" t="s">
        <v>20</v>
      </c>
      <c r="AC3" s="10" t="s">
        <v>21</v>
      </c>
      <c r="AD3" s="3" t="s">
        <v>15</v>
      </c>
      <c r="AE3" s="3" t="s">
        <v>16</v>
      </c>
      <c r="AF3" s="3" t="s">
        <v>17</v>
      </c>
      <c r="AG3" s="3" t="s">
        <v>18</v>
      </c>
      <c r="AH3" s="93" t="s">
        <v>19</v>
      </c>
      <c r="AI3" s="10"/>
      <c r="AJ3" s="6" t="s">
        <v>22</v>
      </c>
      <c r="AK3" s="6" t="s">
        <v>53</v>
      </c>
      <c r="AL3" s="6" t="s">
        <v>91</v>
      </c>
      <c r="AM3" s="6" t="s">
        <v>25</v>
      </c>
      <c r="AN3" s="6" t="s">
        <v>26</v>
      </c>
      <c r="AO3" s="6" t="s">
        <v>27</v>
      </c>
      <c r="AP3" s="6" t="s">
        <v>28</v>
      </c>
      <c r="AQ3" s="6" t="s">
        <v>29</v>
      </c>
      <c r="AR3" s="6" t="s">
        <v>30</v>
      </c>
      <c r="AS3" s="6" t="s">
        <v>92</v>
      </c>
      <c r="AT3" s="6" t="s">
        <v>32</v>
      </c>
      <c r="AU3" s="6"/>
      <c r="AV3" s="99">
        <v>46034</v>
      </c>
      <c r="AW3" s="99">
        <v>46050</v>
      </c>
    </row>
    <row r="4" spans="2:50" x14ac:dyDescent="0.35">
      <c r="B4" s="4" t="s">
        <v>33</v>
      </c>
      <c r="C4" s="5" t="s">
        <v>43</v>
      </c>
      <c r="D4" s="7" t="s">
        <v>32</v>
      </c>
      <c r="E4" s="7" t="s">
        <v>28</v>
      </c>
      <c r="F4" s="7"/>
      <c r="G4" s="7"/>
      <c r="H4" s="7" t="s">
        <v>22</v>
      </c>
      <c r="I4" s="7" t="s">
        <v>22</v>
      </c>
      <c r="J4" s="8" t="s">
        <v>22</v>
      </c>
      <c r="K4" s="8" t="s">
        <v>22</v>
      </c>
      <c r="L4" s="8" t="s">
        <v>22</v>
      </c>
      <c r="M4" s="8"/>
      <c r="N4" s="7"/>
      <c r="O4" s="7" t="s">
        <v>22</v>
      </c>
      <c r="P4" s="7" t="s">
        <v>22</v>
      </c>
      <c r="Q4" s="7" t="s">
        <v>22</v>
      </c>
      <c r="R4" s="7" t="s">
        <v>32</v>
      </c>
      <c r="S4" s="7" t="s">
        <v>32</v>
      </c>
      <c r="T4" s="8"/>
      <c r="U4" s="8"/>
      <c r="V4" s="7" t="s">
        <v>22</v>
      </c>
      <c r="W4" s="7" t="s">
        <v>22</v>
      </c>
      <c r="X4" s="7" t="s">
        <v>22</v>
      </c>
      <c r="Y4" s="7" t="s">
        <v>22</v>
      </c>
      <c r="Z4" s="7" t="s">
        <v>22</v>
      </c>
      <c r="AA4" s="8"/>
      <c r="AB4" s="8"/>
      <c r="AC4" s="8" t="s">
        <v>32</v>
      </c>
      <c r="AD4" s="98" t="s">
        <v>22</v>
      </c>
      <c r="AE4" s="7" t="s">
        <v>22</v>
      </c>
      <c r="AF4" s="7" t="s">
        <v>22</v>
      </c>
      <c r="AG4" s="7" t="s">
        <v>22</v>
      </c>
      <c r="AH4" s="7"/>
      <c r="AI4" s="7"/>
      <c r="AJ4" s="61">
        <f t="shared" ref="AJ4:AJ13" si="0">COUNTIF(C4:AI4,"P")</f>
        <v>17</v>
      </c>
      <c r="AK4" s="11">
        <f t="shared" ref="AK4:AK13" si="1">COUNTIF(D4:AI4,"A")</f>
        <v>0</v>
      </c>
      <c r="AL4" s="11">
        <f t="shared" ref="AL4:AL13" si="2">COUNTIF(D4:AI4,"H")</f>
        <v>0</v>
      </c>
      <c r="AM4" s="11">
        <f t="shared" ref="AM4:AM13" si="3">COUNTIF(D4:AI4,"TR")</f>
        <v>0</v>
      </c>
      <c r="AN4" s="11">
        <f t="shared" ref="AN4:AN13" si="4">COUNTIF(D4:AI4,"CL")</f>
        <v>0</v>
      </c>
      <c r="AO4" s="11">
        <f t="shared" ref="AO4:AO13" si="5">COUNTIF(D4:AI4,"SL")</f>
        <v>0</v>
      </c>
      <c r="AP4" s="11">
        <f t="shared" ref="AP4:AP13" si="6">COUNTIF(D4:AI4,"AL")</f>
        <v>1</v>
      </c>
      <c r="AQ4" s="11">
        <f t="shared" ref="AQ4:AQ13" si="7">COUNTIF(D4:AI4,"ML")</f>
        <v>0</v>
      </c>
      <c r="AR4" s="11">
        <f t="shared" ref="AR4:AR13" si="8">COUNTIF(D4:AI4,"PL")</f>
        <v>0</v>
      </c>
      <c r="AS4" s="11">
        <f t="shared" ref="AS4:AS13" si="9">COUNTIF(D4:AI4,"WFH")</f>
        <v>0</v>
      </c>
      <c r="AT4" s="11">
        <f t="shared" ref="AT4:AT13" si="10">COUNTIF(D4:AI4,"NH")</f>
        <v>4</v>
      </c>
      <c r="AU4" s="11">
        <f>SUM(AJ4:AT4)</f>
        <v>22</v>
      </c>
      <c r="AV4" s="100"/>
      <c r="AW4" s="100"/>
    </row>
    <row r="5" spans="2:50" x14ac:dyDescent="0.35">
      <c r="B5" s="4" t="s">
        <v>34</v>
      </c>
      <c r="C5" s="4" t="s">
        <v>44</v>
      </c>
      <c r="D5" s="7" t="s">
        <v>32</v>
      </c>
      <c r="E5" s="7" t="s">
        <v>28</v>
      </c>
      <c r="F5" s="7"/>
      <c r="G5" s="7"/>
      <c r="H5" s="7" t="s">
        <v>22</v>
      </c>
      <c r="I5" s="7" t="s">
        <v>22</v>
      </c>
      <c r="J5" s="8" t="s">
        <v>22</v>
      </c>
      <c r="K5" s="8" t="s">
        <v>22</v>
      </c>
      <c r="L5" s="8" t="s">
        <v>22</v>
      </c>
      <c r="M5" s="8"/>
      <c r="N5" s="7"/>
      <c r="O5" s="7" t="s">
        <v>22</v>
      </c>
      <c r="P5" s="7" t="s">
        <v>22</v>
      </c>
      <c r="Q5" s="7" t="s">
        <v>22</v>
      </c>
      <c r="R5" s="7" t="s">
        <v>32</v>
      </c>
      <c r="S5" s="7" t="s">
        <v>32</v>
      </c>
      <c r="T5" s="8"/>
      <c r="U5" s="8"/>
      <c r="V5" s="7" t="s">
        <v>22</v>
      </c>
      <c r="W5" s="7" t="s">
        <v>22</v>
      </c>
      <c r="X5" s="7" t="s">
        <v>22</v>
      </c>
      <c r="Y5" s="7" t="s">
        <v>22</v>
      </c>
      <c r="Z5" s="7" t="s">
        <v>22</v>
      </c>
      <c r="AA5" s="8"/>
      <c r="AB5" s="8"/>
      <c r="AC5" s="8" t="s">
        <v>32</v>
      </c>
      <c r="AD5" s="98" t="s">
        <v>22</v>
      </c>
      <c r="AE5" s="7" t="s">
        <v>22</v>
      </c>
      <c r="AF5" s="7" t="s">
        <v>22</v>
      </c>
      <c r="AG5" s="7" t="s">
        <v>22</v>
      </c>
      <c r="AH5" s="7"/>
      <c r="AI5" s="7"/>
      <c r="AJ5" s="61">
        <f t="shared" si="0"/>
        <v>17</v>
      </c>
      <c r="AK5" s="11">
        <f t="shared" si="1"/>
        <v>0</v>
      </c>
      <c r="AL5" s="11">
        <f t="shared" si="2"/>
        <v>0</v>
      </c>
      <c r="AM5" s="11">
        <f t="shared" si="3"/>
        <v>0</v>
      </c>
      <c r="AN5" s="11">
        <f t="shared" si="4"/>
        <v>0</v>
      </c>
      <c r="AO5" s="11">
        <f t="shared" si="5"/>
        <v>0</v>
      </c>
      <c r="AP5" s="11">
        <f t="shared" si="6"/>
        <v>1</v>
      </c>
      <c r="AQ5" s="11">
        <f t="shared" si="7"/>
        <v>0</v>
      </c>
      <c r="AR5" s="11">
        <f t="shared" si="8"/>
        <v>0</v>
      </c>
      <c r="AS5" s="11">
        <f t="shared" si="9"/>
        <v>0</v>
      </c>
      <c r="AT5" s="11">
        <f t="shared" si="10"/>
        <v>4</v>
      </c>
      <c r="AU5" s="11">
        <f t="shared" ref="AU5:AU13" si="11">SUM(AJ5:AT5)</f>
        <v>22</v>
      </c>
      <c r="AV5" s="100"/>
      <c r="AW5" s="100"/>
    </row>
    <row r="6" spans="2:50" x14ac:dyDescent="0.35">
      <c r="B6" s="4" t="s">
        <v>35</v>
      </c>
      <c r="C6" s="4" t="s">
        <v>45</v>
      </c>
      <c r="D6" s="7" t="s">
        <v>32</v>
      </c>
      <c r="E6" s="7" t="s">
        <v>28</v>
      </c>
      <c r="F6" s="9"/>
      <c r="G6" s="9"/>
      <c r="H6" s="7" t="s">
        <v>28</v>
      </c>
      <c r="I6" s="7" t="s">
        <v>28</v>
      </c>
      <c r="J6" s="8" t="s">
        <v>28</v>
      </c>
      <c r="K6" s="8" t="s">
        <v>28</v>
      </c>
      <c r="L6" s="8" t="s">
        <v>28</v>
      </c>
      <c r="M6" s="8"/>
      <c r="N6" s="9"/>
      <c r="O6" s="7" t="s">
        <v>22</v>
      </c>
      <c r="P6" s="7" t="s">
        <v>22</v>
      </c>
      <c r="Q6" s="7" t="s">
        <v>22</v>
      </c>
      <c r="R6" s="7" t="s">
        <v>32</v>
      </c>
      <c r="S6" s="7" t="s">
        <v>32</v>
      </c>
      <c r="T6" s="8"/>
      <c r="U6" s="8"/>
      <c r="V6" s="7" t="s">
        <v>22</v>
      </c>
      <c r="W6" s="7" t="s">
        <v>22</v>
      </c>
      <c r="X6" s="7" t="s">
        <v>22</v>
      </c>
      <c r="Y6" s="7" t="s">
        <v>22</v>
      </c>
      <c r="Z6" s="7" t="s">
        <v>22</v>
      </c>
      <c r="AA6" s="8"/>
      <c r="AB6" s="8"/>
      <c r="AC6" s="8" t="s">
        <v>32</v>
      </c>
      <c r="AD6" s="98" t="s">
        <v>22</v>
      </c>
      <c r="AE6" s="7" t="s">
        <v>22</v>
      </c>
      <c r="AF6" s="7" t="s">
        <v>22</v>
      </c>
      <c r="AG6" s="7" t="s">
        <v>22</v>
      </c>
      <c r="AH6" s="7"/>
      <c r="AI6" s="7"/>
      <c r="AJ6" s="61">
        <f t="shared" si="0"/>
        <v>12</v>
      </c>
      <c r="AK6" s="11">
        <f t="shared" si="1"/>
        <v>0</v>
      </c>
      <c r="AL6" s="11">
        <f t="shared" si="2"/>
        <v>0</v>
      </c>
      <c r="AM6" s="11">
        <f t="shared" si="3"/>
        <v>0</v>
      </c>
      <c r="AN6" s="11">
        <f t="shared" si="4"/>
        <v>0</v>
      </c>
      <c r="AO6" s="11">
        <f t="shared" si="5"/>
        <v>0</v>
      </c>
      <c r="AP6" s="11">
        <f t="shared" si="6"/>
        <v>6</v>
      </c>
      <c r="AQ6" s="11">
        <f t="shared" si="7"/>
        <v>0</v>
      </c>
      <c r="AR6" s="11">
        <f t="shared" si="8"/>
        <v>0</v>
      </c>
      <c r="AS6" s="11">
        <f t="shared" si="9"/>
        <v>0</v>
      </c>
      <c r="AT6" s="11">
        <f t="shared" si="10"/>
        <v>4</v>
      </c>
      <c r="AU6" s="11">
        <f t="shared" si="11"/>
        <v>22</v>
      </c>
      <c r="AV6" s="100"/>
      <c r="AW6" s="100"/>
    </row>
    <row r="7" spans="2:50" x14ac:dyDescent="0.35">
      <c r="B7" s="4" t="s">
        <v>36</v>
      </c>
      <c r="C7" s="4" t="s">
        <v>46</v>
      </c>
      <c r="D7" s="7" t="s">
        <v>32</v>
      </c>
      <c r="E7" s="7" t="s">
        <v>28</v>
      </c>
      <c r="F7" s="9"/>
      <c r="G7" s="9"/>
      <c r="H7" s="7" t="s">
        <v>22</v>
      </c>
      <c r="I7" s="7" t="s">
        <v>22</v>
      </c>
      <c r="J7" s="8" t="s">
        <v>22</v>
      </c>
      <c r="K7" s="8" t="s">
        <v>22</v>
      </c>
      <c r="L7" s="8" t="s">
        <v>22</v>
      </c>
      <c r="M7" s="8"/>
      <c r="N7" s="9"/>
      <c r="O7" s="7" t="s">
        <v>22</v>
      </c>
      <c r="P7" s="7" t="s">
        <v>22</v>
      </c>
      <c r="Q7" s="7" t="s">
        <v>22</v>
      </c>
      <c r="R7" s="7" t="s">
        <v>32</v>
      </c>
      <c r="S7" s="7" t="s">
        <v>32</v>
      </c>
      <c r="T7" s="8"/>
      <c r="U7" s="8"/>
      <c r="V7" s="7" t="s">
        <v>22</v>
      </c>
      <c r="W7" s="7" t="s">
        <v>22</v>
      </c>
      <c r="X7" s="7" t="s">
        <v>22</v>
      </c>
      <c r="Y7" s="7" t="s">
        <v>22</v>
      </c>
      <c r="Z7" s="7" t="s">
        <v>22</v>
      </c>
      <c r="AA7" s="8"/>
      <c r="AB7" s="8"/>
      <c r="AC7" s="8" t="s">
        <v>32</v>
      </c>
      <c r="AD7" s="98" t="s">
        <v>22</v>
      </c>
      <c r="AE7" s="7" t="s">
        <v>22</v>
      </c>
      <c r="AF7" s="7" t="s">
        <v>22</v>
      </c>
      <c r="AG7" s="7" t="s">
        <v>22</v>
      </c>
      <c r="AH7" s="7"/>
      <c r="AI7" s="7"/>
      <c r="AJ7" s="61">
        <f t="shared" si="0"/>
        <v>17</v>
      </c>
      <c r="AK7" s="11">
        <f t="shared" si="1"/>
        <v>0</v>
      </c>
      <c r="AL7" s="11">
        <f t="shared" si="2"/>
        <v>0</v>
      </c>
      <c r="AM7" s="11">
        <f t="shared" si="3"/>
        <v>0</v>
      </c>
      <c r="AN7" s="11">
        <f t="shared" si="4"/>
        <v>0</v>
      </c>
      <c r="AO7" s="11">
        <f t="shared" si="5"/>
        <v>0</v>
      </c>
      <c r="AP7" s="11">
        <f t="shared" si="6"/>
        <v>1</v>
      </c>
      <c r="AQ7" s="11">
        <f t="shared" si="7"/>
        <v>0</v>
      </c>
      <c r="AR7" s="11">
        <f t="shared" si="8"/>
        <v>0</v>
      </c>
      <c r="AS7" s="11">
        <f t="shared" si="9"/>
        <v>0</v>
      </c>
      <c r="AT7" s="11">
        <f t="shared" si="10"/>
        <v>4</v>
      </c>
      <c r="AU7" s="11">
        <f t="shared" si="11"/>
        <v>22</v>
      </c>
      <c r="AV7" s="100"/>
      <c r="AW7" s="100"/>
    </row>
    <row r="8" spans="2:50" x14ac:dyDescent="0.35">
      <c r="B8" s="4" t="s">
        <v>37</v>
      </c>
      <c r="C8" s="4" t="s">
        <v>47</v>
      </c>
      <c r="D8" s="9" t="s">
        <v>32</v>
      </c>
      <c r="E8" s="9" t="s">
        <v>22</v>
      </c>
      <c r="F8" s="9"/>
      <c r="G8" s="9"/>
      <c r="H8" s="9" t="s">
        <v>22</v>
      </c>
      <c r="I8" s="9" t="s">
        <v>22</v>
      </c>
      <c r="J8" s="9" t="s">
        <v>22</v>
      </c>
      <c r="K8" s="9" t="s">
        <v>22</v>
      </c>
      <c r="L8" s="9" t="s">
        <v>22</v>
      </c>
      <c r="M8" s="8"/>
      <c r="N8" s="9"/>
      <c r="O8" s="7" t="s">
        <v>22</v>
      </c>
      <c r="P8" s="7" t="s">
        <v>22</v>
      </c>
      <c r="Q8" s="7" t="s">
        <v>22</v>
      </c>
      <c r="R8" s="7" t="s">
        <v>32</v>
      </c>
      <c r="S8" s="7" t="s">
        <v>32</v>
      </c>
      <c r="T8" s="8"/>
      <c r="U8" s="8"/>
      <c r="V8" s="7" t="s">
        <v>22</v>
      </c>
      <c r="W8" s="7" t="s">
        <v>22</v>
      </c>
      <c r="X8" s="7" t="s">
        <v>22</v>
      </c>
      <c r="Y8" s="7" t="s">
        <v>22</v>
      </c>
      <c r="Z8" s="7" t="s">
        <v>22</v>
      </c>
      <c r="AA8" s="8"/>
      <c r="AB8" s="8"/>
      <c r="AC8" s="8" t="s">
        <v>32</v>
      </c>
      <c r="AD8" s="98" t="s">
        <v>22</v>
      </c>
      <c r="AE8" s="7" t="s">
        <v>22</v>
      </c>
      <c r="AF8" s="7" t="s">
        <v>22</v>
      </c>
      <c r="AG8" s="7" t="s">
        <v>22</v>
      </c>
      <c r="AH8" s="7"/>
      <c r="AI8" s="7"/>
      <c r="AJ8" s="61">
        <f t="shared" si="0"/>
        <v>18</v>
      </c>
      <c r="AK8" s="11">
        <f t="shared" si="1"/>
        <v>0</v>
      </c>
      <c r="AL8" s="11">
        <f t="shared" si="2"/>
        <v>0</v>
      </c>
      <c r="AM8" s="11">
        <f t="shared" si="3"/>
        <v>0</v>
      </c>
      <c r="AN8" s="11">
        <f t="shared" si="4"/>
        <v>0</v>
      </c>
      <c r="AO8" s="11">
        <f t="shared" si="5"/>
        <v>0</v>
      </c>
      <c r="AP8" s="11">
        <f t="shared" si="6"/>
        <v>0</v>
      </c>
      <c r="AQ8" s="11">
        <f t="shared" si="7"/>
        <v>0</v>
      </c>
      <c r="AR8" s="11">
        <f t="shared" si="8"/>
        <v>0</v>
      </c>
      <c r="AS8" s="11">
        <f t="shared" si="9"/>
        <v>0</v>
      </c>
      <c r="AT8" s="11">
        <f t="shared" si="10"/>
        <v>4</v>
      </c>
      <c r="AU8" s="11">
        <f t="shared" si="11"/>
        <v>22</v>
      </c>
      <c r="AV8" s="100"/>
      <c r="AW8" s="100"/>
    </row>
    <row r="9" spans="2:50" x14ac:dyDescent="0.35">
      <c r="B9" s="4" t="s">
        <v>38</v>
      </c>
      <c r="C9" s="4" t="s">
        <v>48</v>
      </c>
      <c r="D9" s="7" t="s">
        <v>32</v>
      </c>
      <c r="E9" s="7" t="s">
        <v>28</v>
      </c>
      <c r="F9" s="9"/>
      <c r="G9" s="9"/>
      <c r="H9" s="7" t="s">
        <v>22</v>
      </c>
      <c r="I9" s="7" t="s">
        <v>22</v>
      </c>
      <c r="J9" s="8" t="s">
        <v>22</v>
      </c>
      <c r="K9" s="8" t="s">
        <v>22</v>
      </c>
      <c r="L9" s="8" t="s">
        <v>22</v>
      </c>
      <c r="M9" s="8"/>
      <c r="N9" s="9"/>
      <c r="O9" s="7" t="s">
        <v>22</v>
      </c>
      <c r="P9" s="7" t="s">
        <v>22</v>
      </c>
      <c r="Q9" s="7" t="s">
        <v>22</v>
      </c>
      <c r="R9" s="7" t="s">
        <v>32</v>
      </c>
      <c r="S9" s="7" t="s">
        <v>32</v>
      </c>
      <c r="T9" s="8"/>
      <c r="U9" s="8"/>
      <c r="V9" s="7" t="s">
        <v>22</v>
      </c>
      <c r="W9" s="7" t="s">
        <v>22</v>
      </c>
      <c r="X9" s="7" t="s">
        <v>22</v>
      </c>
      <c r="Y9" s="7" t="s">
        <v>22</v>
      </c>
      <c r="Z9" s="7" t="s">
        <v>22</v>
      </c>
      <c r="AA9" s="8"/>
      <c r="AB9" s="8"/>
      <c r="AC9" s="8" t="s">
        <v>32</v>
      </c>
      <c r="AD9" s="98" t="s">
        <v>22</v>
      </c>
      <c r="AE9" s="7" t="s">
        <v>22</v>
      </c>
      <c r="AF9" s="7" t="s">
        <v>22</v>
      </c>
      <c r="AG9" s="7" t="s">
        <v>22</v>
      </c>
      <c r="AH9" s="7"/>
      <c r="AI9" s="7"/>
      <c r="AJ9" s="61">
        <f t="shared" si="0"/>
        <v>17</v>
      </c>
      <c r="AK9" s="11">
        <f t="shared" si="1"/>
        <v>0</v>
      </c>
      <c r="AL9" s="11">
        <f t="shared" si="2"/>
        <v>0</v>
      </c>
      <c r="AM9" s="11">
        <f t="shared" si="3"/>
        <v>0</v>
      </c>
      <c r="AN9" s="11">
        <f t="shared" si="4"/>
        <v>0</v>
      </c>
      <c r="AO9" s="11">
        <f t="shared" si="5"/>
        <v>0</v>
      </c>
      <c r="AP9" s="11">
        <f t="shared" si="6"/>
        <v>1</v>
      </c>
      <c r="AQ9" s="11">
        <f t="shared" si="7"/>
        <v>0</v>
      </c>
      <c r="AR9" s="11">
        <f t="shared" si="8"/>
        <v>0</v>
      </c>
      <c r="AS9" s="11">
        <f t="shared" si="9"/>
        <v>0</v>
      </c>
      <c r="AT9" s="11">
        <f t="shared" si="10"/>
        <v>4</v>
      </c>
      <c r="AU9" s="11">
        <f t="shared" si="11"/>
        <v>22</v>
      </c>
      <c r="AV9" s="100"/>
      <c r="AW9" s="100"/>
    </row>
    <row r="10" spans="2:50" x14ac:dyDescent="0.35">
      <c r="B10" s="4" t="s">
        <v>39</v>
      </c>
      <c r="C10" s="4" t="s">
        <v>49</v>
      </c>
      <c r="D10" s="7" t="s">
        <v>32</v>
      </c>
      <c r="E10" s="7" t="s">
        <v>28</v>
      </c>
      <c r="F10" s="9"/>
      <c r="G10" s="9"/>
      <c r="H10" s="7" t="s">
        <v>22</v>
      </c>
      <c r="I10" s="7" t="s">
        <v>22</v>
      </c>
      <c r="J10" s="8" t="s">
        <v>22</v>
      </c>
      <c r="K10" s="8" t="s">
        <v>22</v>
      </c>
      <c r="L10" s="8" t="s">
        <v>22</v>
      </c>
      <c r="M10" s="8"/>
      <c r="N10" s="9"/>
      <c r="O10" s="7" t="s">
        <v>22</v>
      </c>
      <c r="P10" s="7" t="s">
        <v>22</v>
      </c>
      <c r="Q10" s="7" t="s">
        <v>22</v>
      </c>
      <c r="R10" s="7" t="s">
        <v>32</v>
      </c>
      <c r="S10" s="7" t="s">
        <v>32</v>
      </c>
      <c r="T10" s="8"/>
      <c r="U10" s="8"/>
      <c r="V10" s="7" t="s">
        <v>22</v>
      </c>
      <c r="W10" s="7" t="s">
        <v>22</v>
      </c>
      <c r="X10" s="7" t="s">
        <v>22</v>
      </c>
      <c r="Y10" s="7" t="s">
        <v>22</v>
      </c>
      <c r="Z10" s="7" t="s">
        <v>22</v>
      </c>
      <c r="AA10" s="8"/>
      <c r="AB10" s="8"/>
      <c r="AC10" s="8" t="s">
        <v>32</v>
      </c>
      <c r="AD10" s="98" t="s">
        <v>22</v>
      </c>
      <c r="AE10" s="7" t="s">
        <v>22</v>
      </c>
      <c r="AF10" s="7" t="s">
        <v>22</v>
      </c>
      <c r="AG10" s="7" t="s">
        <v>22</v>
      </c>
      <c r="AH10" s="7"/>
      <c r="AI10" s="7"/>
      <c r="AJ10" s="61">
        <f t="shared" si="0"/>
        <v>17</v>
      </c>
      <c r="AK10" s="11">
        <f t="shared" si="1"/>
        <v>0</v>
      </c>
      <c r="AL10" s="11">
        <f t="shared" si="2"/>
        <v>0</v>
      </c>
      <c r="AM10" s="11">
        <f t="shared" si="3"/>
        <v>0</v>
      </c>
      <c r="AN10" s="11">
        <f t="shared" si="4"/>
        <v>0</v>
      </c>
      <c r="AO10" s="11">
        <f t="shared" si="5"/>
        <v>0</v>
      </c>
      <c r="AP10" s="11">
        <f t="shared" si="6"/>
        <v>1</v>
      </c>
      <c r="AQ10" s="11">
        <f t="shared" si="7"/>
        <v>0</v>
      </c>
      <c r="AR10" s="11">
        <f t="shared" si="8"/>
        <v>0</v>
      </c>
      <c r="AS10" s="11">
        <f t="shared" si="9"/>
        <v>0</v>
      </c>
      <c r="AT10" s="11">
        <f t="shared" si="10"/>
        <v>4</v>
      </c>
      <c r="AU10" s="11">
        <f t="shared" si="11"/>
        <v>22</v>
      </c>
      <c r="AV10" s="100">
        <v>300000</v>
      </c>
      <c r="AW10" s="100">
        <v>950000</v>
      </c>
      <c r="AX10" s="108">
        <f>AV10+AW10</f>
        <v>1250000</v>
      </c>
    </row>
    <row r="11" spans="2:50" x14ac:dyDescent="0.35">
      <c r="B11" s="4" t="s">
        <v>40</v>
      </c>
      <c r="C11" s="4" t="s">
        <v>50</v>
      </c>
      <c r="D11" s="7" t="s">
        <v>32</v>
      </c>
      <c r="E11" s="7" t="s">
        <v>28</v>
      </c>
      <c r="F11" s="9"/>
      <c r="G11" s="9"/>
      <c r="H11" s="7" t="s">
        <v>22</v>
      </c>
      <c r="I11" s="7" t="s">
        <v>22</v>
      </c>
      <c r="J11" s="8" t="s">
        <v>22</v>
      </c>
      <c r="K11" s="8" t="s">
        <v>22</v>
      </c>
      <c r="L11" s="8" t="s">
        <v>22</v>
      </c>
      <c r="M11" s="8"/>
      <c r="N11" s="9"/>
      <c r="O11" s="7" t="s">
        <v>22</v>
      </c>
      <c r="P11" s="7" t="s">
        <v>22</v>
      </c>
      <c r="Q11" s="7" t="s">
        <v>22</v>
      </c>
      <c r="R11" s="7" t="s">
        <v>32</v>
      </c>
      <c r="S11" s="7" t="s">
        <v>32</v>
      </c>
      <c r="T11" s="8"/>
      <c r="U11" s="8"/>
      <c r="V11" s="7" t="s">
        <v>22</v>
      </c>
      <c r="W11" s="7" t="s">
        <v>22</v>
      </c>
      <c r="X11" s="7" t="s">
        <v>22</v>
      </c>
      <c r="Y11" s="7" t="s">
        <v>22</v>
      </c>
      <c r="Z11" s="7" t="s">
        <v>22</v>
      </c>
      <c r="AA11" s="8"/>
      <c r="AB11" s="8"/>
      <c r="AC11" s="8" t="s">
        <v>32</v>
      </c>
      <c r="AD11" s="98" t="s">
        <v>22</v>
      </c>
      <c r="AE11" s="7" t="s">
        <v>22</v>
      </c>
      <c r="AF11" s="7" t="s">
        <v>22</v>
      </c>
      <c r="AG11" s="7" t="s">
        <v>22</v>
      </c>
      <c r="AH11" s="7"/>
      <c r="AI11" s="7"/>
      <c r="AJ11" s="61">
        <f t="shared" si="0"/>
        <v>17</v>
      </c>
      <c r="AK11" s="11">
        <f t="shared" si="1"/>
        <v>0</v>
      </c>
      <c r="AL11" s="11">
        <f t="shared" si="2"/>
        <v>0</v>
      </c>
      <c r="AM11" s="11">
        <f t="shared" si="3"/>
        <v>0</v>
      </c>
      <c r="AN11" s="11">
        <f t="shared" si="4"/>
        <v>0</v>
      </c>
      <c r="AO11" s="11">
        <f t="shared" si="5"/>
        <v>0</v>
      </c>
      <c r="AP11" s="11">
        <f t="shared" si="6"/>
        <v>1</v>
      </c>
      <c r="AQ11" s="11">
        <f t="shared" si="7"/>
        <v>0</v>
      </c>
      <c r="AR11" s="11">
        <f t="shared" si="8"/>
        <v>0</v>
      </c>
      <c r="AS11" s="11">
        <f t="shared" si="9"/>
        <v>0</v>
      </c>
      <c r="AT11" s="11">
        <f t="shared" si="10"/>
        <v>4</v>
      </c>
      <c r="AU11" s="11">
        <f t="shared" si="11"/>
        <v>22</v>
      </c>
      <c r="AV11" s="100">
        <v>600000</v>
      </c>
      <c r="AW11" s="100">
        <v>3000000</v>
      </c>
      <c r="AX11" s="108">
        <f t="shared" ref="AX11:AX12" si="12">AV11+AW11</f>
        <v>3600000</v>
      </c>
    </row>
    <row r="12" spans="2:50" x14ac:dyDescent="0.35">
      <c r="B12" s="4" t="s">
        <v>41</v>
      </c>
      <c r="C12" s="4" t="s">
        <v>51</v>
      </c>
      <c r="D12" s="7" t="s">
        <v>32</v>
      </c>
      <c r="E12" s="7" t="s">
        <v>22</v>
      </c>
      <c r="F12" s="9"/>
      <c r="G12" s="9"/>
      <c r="H12" s="7" t="s">
        <v>22</v>
      </c>
      <c r="I12" s="7" t="s">
        <v>22</v>
      </c>
      <c r="J12" s="8" t="s">
        <v>22</v>
      </c>
      <c r="K12" s="8" t="s">
        <v>22</v>
      </c>
      <c r="L12" s="8" t="s">
        <v>22</v>
      </c>
      <c r="M12" s="8"/>
      <c r="N12" s="9"/>
      <c r="O12" s="7" t="s">
        <v>22</v>
      </c>
      <c r="P12" s="7" t="s">
        <v>22</v>
      </c>
      <c r="Q12" s="7" t="s">
        <v>22</v>
      </c>
      <c r="R12" s="7" t="s">
        <v>32</v>
      </c>
      <c r="S12" s="7" t="s">
        <v>32</v>
      </c>
      <c r="T12" s="8"/>
      <c r="U12" s="8"/>
      <c r="V12" s="7" t="s">
        <v>22</v>
      </c>
      <c r="W12" s="7" t="s">
        <v>22</v>
      </c>
      <c r="X12" s="7" t="s">
        <v>22</v>
      </c>
      <c r="Y12" s="7" t="s">
        <v>22</v>
      </c>
      <c r="Z12" s="7" t="s">
        <v>22</v>
      </c>
      <c r="AA12" s="8"/>
      <c r="AB12" s="8"/>
      <c r="AC12" s="8" t="s">
        <v>32</v>
      </c>
      <c r="AD12" s="98" t="s">
        <v>22</v>
      </c>
      <c r="AE12" s="7" t="s">
        <v>22</v>
      </c>
      <c r="AF12" s="7" t="s">
        <v>22</v>
      </c>
      <c r="AG12" s="7" t="s">
        <v>22</v>
      </c>
      <c r="AH12" s="7"/>
      <c r="AI12" s="7"/>
      <c r="AJ12" s="61">
        <f t="shared" si="0"/>
        <v>18</v>
      </c>
      <c r="AK12" s="11">
        <f t="shared" si="1"/>
        <v>0</v>
      </c>
      <c r="AL12" s="11">
        <f t="shared" si="2"/>
        <v>0</v>
      </c>
      <c r="AM12" s="11">
        <f t="shared" si="3"/>
        <v>0</v>
      </c>
      <c r="AN12" s="11">
        <f t="shared" si="4"/>
        <v>0</v>
      </c>
      <c r="AO12" s="11">
        <f t="shared" si="5"/>
        <v>0</v>
      </c>
      <c r="AP12" s="11">
        <f t="shared" si="6"/>
        <v>0</v>
      </c>
      <c r="AQ12" s="11">
        <f t="shared" si="7"/>
        <v>0</v>
      </c>
      <c r="AR12" s="11">
        <f t="shared" si="8"/>
        <v>0</v>
      </c>
      <c r="AS12" s="11">
        <f t="shared" si="9"/>
        <v>0</v>
      </c>
      <c r="AT12" s="11">
        <f t="shared" si="10"/>
        <v>4</v>
      </c>
      <c r="AU12" s="11">
        <f t="shared" si="11"/>
        <v>22</v>
      </c>
      <c r="AV12" s="100">
        <v>200000</v>
      </c>
      <c r="AX12" s="108">
        <f t="shared" si="12"/>
        <v>200000</v>
      </c>
    </row>
    <row r="13" spans="2:50" x14ac:dyDescent="0.35">
      <c r="B13" s="4" t="s">
        <v>42</v>
      </c>
      <c r="C13" s="4" t="s">
        <v>52</v>
      </c>
      <c r="D13" s="7" t="s">
        <v>32</v>
      </c>
      <c r="E13" s="7" t="s">
        <v>28</v>
      </c>
      <c r="F13" s="9"/>
      <c r="G13" s="9"/>
      <c r="H13" s="7" t="s">
        <v>22</v>
      </c>
      <c r="I13" s="7" t="s">
        <v>22</v>
      </c>
      <c r="J13" s="8" t="s">
        <v>22</v>
      </c>
      <c r="K13" s="8" t="s">
        <v>22</v>
      </c>
      <c r="L13" s="8" t="s">
        <v>22</v>
      </c>
      <c r="M13" s="8"/>
      <c r="N13" s="9"/>
      <c r="O13" s="7" t="s">
        <v>22</v>
      </c>
      <c r="P13" s="7" t="s">
        <v>22</v>
      </c>
      <c r="Q13" s="7" t="s">
        <v>22</v>
      </c>
      <c r="R13" s="7" t="s">
        <v>32</v>
      </c>
      <c r="S13" s="7" t="s">
        <v>32</v>
      </c>
      <c r="T13" s="8"/>
      <c r="U13" s="8"/>
      <c r="V13" s="7" t="s">
        <v>22</v>
      </c>
      <c r="W13" s="7" t="s">
        <v>22</v>
      </c>
      <c r="X13" s="7" t="s">
        <v>22</v>
      </c>
      <c r="Y13" s="7" t="s">
        <v>22</v>
      </c>
      <c r="Z13" s="7" t="s">
        <v>22</v>
      </c>
      <c r="AA13" s="8"/>
      <c r="AB13" s="8"/>
      <c r="AC13" s="8" t="s">
        <v>32</v>
      </c>
      <c r="AD13" s="98" t="s">
        <v>22</v>
      </c>
      <c r="AE13" s="7" t="s">
        <v>22</v>
      </c>
      <c r="AF13" s="7" t="s">
        <v>22</v>
      </c>
      <c r="AG13" s="7" t="s">
        <v>22</v>
      </c>
      <c r="AH13" s="7"/>
      <c r="AI13" s="7"/>
      <c r="AJ13" s="61">
        <f t="shared" si="0"/>
        <v>17</v>
      </c>
      <c r="AK13" s="11">
        <f t="shared" si="1"/>
        <v>0</v>
      </c>
      <c r="AL13" s="11">
        <f t="shared" si="2"/>
        <v>0</v>
      </c>
      <c r="AM13" s="11">
        <f t="shared" si="3"/>
        <v>0</v>
      </c>
      <c r="AN13" s="11">
        <f t="shared" si="4"/>
        <v>0</v>
      </c>
      <c r="AO13" s="11">
        <f t="shared" si="5"/>
        <v>0</v>
      </c>
      <c r="AP13" s="11">
        <f t="shared" si="6"/>
        <v>1</v>
      </c>
      <c r="AQ13" s="11">
        <f t="shared" si="7"/>
        <v>0</v>
      </c>
      <c r="AR13" s="11">
        <f t="shared" si="8"/>
        <v>0</v>
      </c>
      <c r="AS13" s="11">
        <f t="shared" si="9"/>
        <v>0</v>
      </c>
      <c r="AT13" s="11">
        <f t="shared" si="10"/>
        <v>4</v>
      </c>
      <c r="AU13" s="11">
        <f t="shared" si="11"/>
        <v>22</v>
      </c>
      <c r="AV13" s="100"/>
    </row>
    <row r="14" spans="2:50" x14ac:dyDescent="0.35">
      <c r="AV14" s="100"/>
    </row>
  </sheetData>
  <phoneticPr fontId="3" type="noConversion"/>
  <conditionalFormatting sqref="C4:AI13">
    <cfRule type="containsText" dxfId="8" priority="7" operator="containsText" text="SL">
      <formula>NOT(ISERROR(SEARCH("SL",C4)))</formula>
    </cfRule>
  </conditionalFormatting>
  <conditionalFormatting sqref="D3:AI13">
    <cfRule type="containsText" dxfId="7" priority="6" operator="containsText" text="TR">
      <formula>NOT(ISERROR(SEARCH("TR",D3)))</formula>
    </cfRule>
  </conditionalFormatting>
  <conditionalFormatting sqref="D4:AI13">
    <cfRule type="containsText" dxfId="6" priority="1" operator="containsText" text="ML">
      <formula>NOT(ISERROR(SEARCH("ML",D4)))</formula>
    </cfRule>
    <cfRule type="beginsWith" dxfId="5" priority="2" operator="beginsWith" text="AB">
      <formula>LEFT(D4,LEN("AB"))="AB"</formula>
    </cfRule>
    <cfRule type="beginsWith" dxfId="4" priority="3" operator="beginsWith" text="H">
      <formula>LEFT(D4,LEN("H"))="H"</formula>
    </cfRule>
    <cfRule type="containsText" dxfId="3" priority="4" operator="containsText" text="PL">
      <formula>NOT(ISERROR(SEARCH("PL",D4)))</formula>
    </cfRule>
    <cfRule type="containsText" dxfId="2" priority="5" operator="containsText" text="WFH">
      <formula>NOT(ISERROR(SEARCH("WFH",D4)))</formula>
    </cfRule>
  </conditionalFormatting>
  <conditionalFormatting sqref="D4:AU13">
    <cfRule type="containsText" dxfId="1" priority="8" operator="containsText" text="AL">
      <formula>NOT(ISERROR(SEARCH("AL",D4)))</formula>
    </cfRule>
    <cfRule type="containsText" dxfId="0" priority="9" operator="containsText" text="P">
      <formula>NOT(ISERROR(SEARCH("P",D4)))</formula>
    </cfRule>
  </conditionalFormatting>
  <dataValidations count="1">
    <dataValidation type="list" allowBlank="1" showInputMessage="1" showErrorMessage="1" sqref="D4:AI13" xr:uid="{9358251D-BEEE-4FED-8319-AE4C83B0CE2C}">
      <formula1>$AJ$3:$AT$3</formula1>
    </dataValidation>
  </dataValidations>
  <pageMargins left="0.7" right="0.7" top="0.75" bottom="0.75" header="0.3" footer="0.3"/>
  <pageSetup paperSize="9" orientation="landscape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41683-4AA8-4E7E-A01E-804DADA409FA}">
  <sheetPr codeName="Sheet16"/>
  <dimension ref="B5:O31"/>
  <sheetViews>
    <sheetView topLeftCell="A13" zoomScaleNormal="100" workbookViewId="0">
      <selection activeCell="O21" sqref="O21"/>
    </sheetView>
  </sheetViews>
  <sheetFormatPr defaultColWidth="8.7265625" defaultRowHeight="16" x14ac:dyDescent="0.4"/>
  <cols>
    <col min="1" max="1" width="5.26953125" style="23" customWidth="1"/>
    <col min="2" max="2" width="4.54296875" style="23" customWidth="1"/>
    <col min="3" max="3" width="22" style="23" customWidth="1"/>
    <col min="4" max="4" width="5.54296875" style="23" customWidth="1"/>
    <col min="5" max="5" width="13.453125" style="23" customWidth="1"/>
    <col min="6" max="6" width="10.26953125" style="25" bestFit="1" customWidth="1"/>
    <col min="7" max="7" width="4.54296875" style="25" customWidth="1"/>
    <col min="8" max="16384" width="8.7265625" style="23"/>
  </cols>
  <sheetData>
    <row r="5" spans="2:9" x14ac:dyDescent="0.4">
      <c r="C5" s="24"/>
    </row>
    <row r="6" spans="2:9" x14ac:dyDescent="0.4">
      <c r="C6" s="26" t="s">
        <v>93</v>
      </c>
    </row>
    <row r="7" spans="2:9" x14ac:dyDescent="0.4">
      <c r="E7" s="27" t="s">
        <v>94</v>
      </c>
    </row>
    <row r="8" spans="2:9" ht="25" customHeight="1" x14ac:dyDescent="0.4">
      <c r="C8" s="45" t="s">
        <v>95</v>
      </c>
      <c r="D8" s="28"/>
      <c r="E8" s="29"/>
      <c r="F8" s="30"/>
      <c r="G8" s="30"/>
      <c r="H8" s="31"/>
      <c r="I8" s="31"/>
    </row>
    <row r="9" spans="2:9" ht="25" customHeight="1" x14ac:dyDescent="0.4">
      <c r="C9" s="45" t="s">
        <v>96</v>
      </c>
      <c r="D9" s="28"/>
      <c r="E9" s="32"/>
      <c r="F9" s="33"/>
      <c r="G9" s="33"/>
      <c r="H9" s="34"/>
      <c r="I9" s="34"/>
    </row>
    <row r="10" spans="2:9" ht="25" customHeight="1" x14ac:dyDescent="0.4">
      <c r="C10" s="45" t="s">
        <v>97</v>
      </c>
      <c r="D10" s="28"/>
      <c r="E10" s="32"/>
      <c r="F10" s="33"/>
      <c r="G10" s="33"/>
      <c r="H10" s="34"/>
      <c r="I10" s="34"/>
    </row>
    <row r="11" spans="2:9" ht="25" customHeight="1" x14ac:dyDescent="0.4">
      <c r="C11" s="45" t="s">
        <v>98</v>
      </c>
      <c r="D11" s="35"/>
      <c r="E11" s="32"/>
      <c r="F11" s="33"/>
      <c r="G11" s="33"/>
      <c r="H11" s="34"/>
      <c r="I11" s="34"/>
    </row>
    <row r="12" spans="2:9" ht="15" customHeight="1" x14ac:dyDescent="0.4">
      <c r="C12" s="36"/>
    </row>
    <row r="13" spans="2:9" s="40" customFormat="1" ht="25" customHeight="1" x14ac:dyDescent="0.35">
      <c r="B13" s="37"/>
      <c r="C13" s="38" t="s">
        <v>99</v>
      </c>
      <c r="D13" s="37" t="s">
        <v>100</v>
      </c>
      <c r="E13" s="39" t="s">
        <v>118</v>
      </c>
      <c r="F13" s="37" t="s">
        <v>117</v>
      </c>
      <c r="H13" s="41" t="s">
        <v>101</v>
      </c>
      <c r="I13" s="41" t="s">
        <v>102</v>
      </c>
    </row>
    <row r="14" spans="2:9" ht="20.149999999999999" customHeight="1" x14ac:dyDescent="0.4">
      <c r="B14" s="41">
        <v>1</v>
      </c>
      <c r="C14" s="42" t="s">
        <v>103</v>
      </c>
      <c r="D14" s="41" t="s">
        <v>28</v>
      </c>
      <c r="E14" s="41" t="s">
        <v>122</v>
      </c>
      <c r="F14" s="41"/>
      <c r="H14" s="43"/>
      <c r="I14" s="43"/>
    </row>
    <row r="15" spans="2:9" ht="20.149999999999999" customHeight="1" x14ac:dyDescent="0.4">
      <c r="B15" s="41">
        <v>2</v>
      </c>
      <c r="C15" s="42" t="s">
        <v>104</v>
      </c>
      <c r="D15" s="41" t="s">
        <v>26</v>
      </c>
      <c r="E15" s="41" t="s">
        <v>121</v>
      </c>
      <c r="F15" s="41"/>
      <c r="H15" s="43"/>
      <c r="I15" s="43"/>
    </row>
    <row r="16" spans="2:9" ht="20.149999999999999" customHeight="1" x14ac:dyDescent="0.4">
      <c r="B16" s="41">
        <v>3</v>
      </c>
      <c r="C16" s="42" t="s">
        <v>105</v>
      </c>
      <c r="D16" s="41" t="s">
        <v>27</v>
      </c>
      <c r="E16" s="39" t="s">
        <v>106</v>
      </c>
      <c r="F16" s="41"/>
      <c r="H16" s="43"/>
      <c r="I16" s="43"/>
    </row>
    <row r="17" spans="2:15" ht="20.149999999999999" customHeight="1" x14ac:dyDescent="0.4">
      <c r="B17" s="41">
        <v>4</v>
      </c>
      <c r="C17" s="42" t="s">
        <v>107</v>
      </c>
      <c r="D17" s="41" t="s">
        <v>29</v>
      </c>
      <c r="E17" s="39" t="s">
        <v>108</v>
      </c>
      <c r="F17" s="41"/>
      <c r="H17" s="43"/>
      <c r="I17" s="43"/>
    </row>
    <row r="18" spans="2:15" ht="20.149999999999999" customHeight="1" x14ac:dyDescent="0.4">
      <c r="B18" s="41">
        <v>5</v>
      </c>
      <c r="C18" s="42" t="s">
        <v>9</v>
      </c>
      <c r="D18" s="41" t="s">
        <v>30</v>
      </c>
      <c r="E18" s="39" t="s">
        <v>123</v>
      </c>
      <c r="F18" s="41"/>
      <c r="H18" s="43"/>
      <c r="I18" s="43"/>
      <c r="O18" s="23">
        <v>4634022</v>
      </c>
    </row>
    <row r="19" spans="2:15" ht="20.149999999999999" customHeight="1" x14ac:dyDescent="0.4">
      <c r="B19" s="41">
        <v>6</v>
      </c>
      <c r="C19" s="42" t="s">
        <v>109</v>
      </c>
      <c r="D19" s="41" t="s">
        <v>53</v>
      </c>
      <c r="E19" s="55" t="s">
        <v>121</v>
      </c>
      <c r="F19" s="41"/>
      <c r="H19" s="43"/>
      <c r="I19" s="43"/>
      <c r="O19" s="23">
        <v>4080000</v>
      </c>
    </row>
    <row r="20" spans="2:15" ht="20.149999999999999" customHeight="1" x14ac:dyDescent="0.4">
      <c r="B20" s="41">
        <v>7</v>
      </c>
      <c r="C20" s="42" t="s">
        <v>110</v>
      </c>
      <c r="D20" s="56"/>
      <c r="E20" s="41" t="s">
        <v>121</v>
      </c>
      <c r="F20" s="57"/>
      <c r="H20" s="43"/>
      <c r="I20" s="43"/>
      <c r="O20" s="23">
        <f>O18-O19-28750</f>
        <v>525272</v>
      </c>
    </row>
    <row r="21" spans="2:15" ht="20.149999999999999" customHeight="1" x14ac:dyDescent="0.4">
      <c r="C21" s="36" t="s">
        <v>111</v>
      </c>
    </row>
    <row r="22" spans="2:15" ht="28" customHeight="1" x14ac:dyDescent="0.4">
      <c r="C22" s="45" t="s">
        <v>125</v>
      </c>
      <c r="E22" s="31" t="s">
        <v>124</v>
      </c>
      <c r="F22" s="54"/>
      <c r="G22" s="44"/>
      <c r="I22" s="45" t="s">
        <v>112</v>
      </c>
    </row>
    <row r="23" spans="2:15" ht="25" customHeight="1" x14ac:dyDescent="0.4">
      <c r="C23" s="45" t="s">
        <v>126</v>
      </c>
      <c r="E23" s="34" t="s">
        <v>124</v>
      </c>
      <c r="F23" s="33"/>
      <c r="H23" s="31"/>
      <c r="I23" s="31"/>
    </row>
    <row r="24" spans="2:15" ht="28" customHeight="1" x14ac:dyDescent="0.4">
      <c r="C24" s="47" t="s">
        <v>113</v>
      </c>
      <c r="E24" s="31"/>
      <c r="F24" s="48"/>
      <c r="G24" s="48"/>
      <c r="H24" s="46"/>
    </row>
    <row r="25" spans="2:15" ht="25" customHeight="1" x14ac:dyDescent="0.4">
      <c r="C25" s="47" t="s">
        <v>119</v>
      </c>
      <c r="E25" s="31"/>
      <c r="F25" s="30"/>
    </row>
    <row r="26" spans="2:15" ht="15" customHeight="1" x14ac:dyDescent="0.4">
      <c r="C26" s="49"/>
    </row>
    <row r="27" spans="2:15" ht="22.5" customHeight="1" x14ac:dyDescent="0.4">
      <c r="C27" s="47" t="s">
        <v>114</v>
      </c>
      <c r="E27" s="31"/>
      <c r="F27" s="30"/>
    </row>
    <row r="28" spans="2:15" ht="15" customHeight="1" x14ac:dyDescent="0.4">
      <c r="C28" s="47"/>
    </row>
    <row r="29" spans="2:15" ht="25" customHeight="1" x14ac:dyDescent="0.4">
      <c r="C29" s="45" t="s">
        <v>115</v>
      </c>
      <c r="D29" s="50"/>
      <c r="E29" s="31"/>
      <c r="F29" s="30"/>
      <c r="G29" s="30"/>
      <c r="H29" s="31"/>
      <c r="I29" s="31"/>
    </row>
    <row r="30" spans="2:15" ht="25" customHeight="1" x14ac:dyDescent="0.4">
      <c r="C30" s="53" t="s">
        <v>116</v>
      </c>
      <c r="E30" s="34"/>
      <c r="F30" s="51"/>
      <c r="G30" s="51"/>
      <c r="H30" s="52"/>
      <c r="I30" s="34"/>
    </row>
    <row r="31" spans="2:15" ht="25" customHeight="1" x14ac:dyDescent="0.4">
      <c r="C31" s="47" t="s">
        <v>120</v>
      </c>
      <c r="E31" s="34"/>
      <c r="F31" s="33"/>
    </row>
  </sheetData>
  <pageMargins left="0.25" right="0.25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E7C57-2310-464E-987F-17E3A989CE68}">
  <dimension ref="B5:Q31"/>
  <sheetViews>
    <sheetView topLeftCell="A9" zoomScaleNormal="100" workbookViewId="0">
      <selection activeCell="K23" sqref="K23"/>
    </sheetView>
  </sheetViews>
  <sheetFormatPr defaultColWidth="8.7265625" defaultRowHeight="16" x14ac:dyDescent="0.4"/>
  <cols>
    <col min="1" max="1" width="5.26953125" style="23" customWidth="1"/>
    <col min="2" max="2" width="4.54296875" style="23" customWidth="1"/>
    <col min="3" max="3" width="22" style="23" customWidth="1"/>
    <col min="4" max="4" width="5.54296875" style="23" customWidth="1"/>
    <col min="5" max="5" width="13.453125" style="23" customWidth="1"/>
    <col min="6" max="6" width="10.26953125" style="25" bestFit="1" customWidth="1"/>
    <col min="7" max="7" width="4.54296875" style="25" customWidth="1"/>
    <col min="8" max="15" width="8.7265625" style="23"/>
    <col min="16" max="16" width="14.7265625" style="106" bestFit="1" customWidth="1"/>
    <col min="17" max="17" width="13.54296875" style="23" bestFit="1" customWidth="1"/>
    <col min="18" max="16384" width="8.7265625" style="23"/>
  </cols>
  <sheetData>
    <row r="5" spans="2:16" x14ac:dyDescent="0.4">
      <c r="C5" s="24"/>
    </row>
    <row r="6" spans="2:16" x14ac:dyDescent="0.4">
      <c r="C6" s="26" t="s">
        <v>93</v>
      </c>
    </row>
    <row r="7" spans="2:16" x14ac:dyDescent="0.4">
      <c r="E7" s="27" t="s">
        <v>94</v>
      </c>
    </row>
    <row r="8" spans="2:16" ht="25" customHeight="1" x14ac:dyDescent="0.4">
      <c r="C8" s="45" t="s">
        <v>95</v>
      </c>
      <c r="D8" s="28"/>
      <c r="E8" s="29" t="s">
        <v>141</v>
      </c>
      <c r="F8" s="30"/>
      <c r="G8" s="30"/>
      <c r="H8" s="31"/>
      <c r="I8" s="31"/>
    </row>
    <row r="9" spans="2:16" ht="25" customHeight="1" x14ac:dyDescent="0.4">
      <c r="C9" s="45" t="s">
        <v>96</v>
      </c>
      <c r="D9" s="28"/>
      <c r="E9" s="32" t="s">
        <v>142</v>
      </c>
      <c r="F9" s="33"/>
      <c r="G9" s="33"/>
      <c r="H9" s="34"/>
      <c r="I9" s="34"/>
    </row>
    <row r="10" spans="2:16" ht="25" customHeight="1" x14ac:dyDescent="0.4">
      <c r="C10" s="45" t="s">
        <v>97</v>
      </c>
      <c r="D10" s="28"/>
      <c r="E10" s="105" t="s">
        <v>74</v>
      </c>
      <c r="F10" s="33"/>
      <c r="G10" s="33"/>
      <c r="H10" s="34"/>
      <c r="I10" s="34"/>
    </row>
    <row r="11" spans="2:16" ht="25" customHeight="1" x14ac:dyDescent="0.4">
      <c r="C11" s="45" t="s">
        <v>98</v>
      </c>
      <c r="D11" s="35"/>
      <c r="E11" s="105" t="s">
        <v>143</v>
      </c>
      <c r="F11" s="33"/>
      <c r="G11" s="33"/>
      <c r="H11" s="34"/>
      <c r="I11" s="34"/>
    </row>
    <row r="12" spans="2:16" ht="15" customHeight="1" x14ac:dyDescent="0.4">
      <c r="C12" s="36"/>
    </row>
    <row r="13" spans="2:16" s="40" customFormat="1" ht="25" customHeight="1" x14ac:dyDescent="0.35">
      <c r="B13" s="37"/>
      <c r="C13" s="38" t="s">
        <v>99</v>
      </c>
      <c r="D13" s="37" t="s">
        <v>100</v>
      </c>
      <c r="E13" s="39" t="s">
        <v>118</v>
      </c>
      <c r="F13" s="37" t="s">
        <v>117</v>
      </c>
      <c r="H13" s="41" t="s">
        <v>101</v>
      </c>
      <c r="I13" s="41" t="s">
        <v>102</v>
      </c>
      <c r="P13" s="107"/>
    </row>
    <row r="14" spans="2:16" ht="20.149999999999999" customHeight="1" x14ac:dyDescent="0.4">
      <c r="B14" s="41">
        <v>1</v>
      </c>
      <c r="C14" s="42" t="s">
        <v>103</v>
      </c>
      <c r="D14" s="41" t="s">
        <v>28</v>
      </c>
      <c r="E14" s="41" t="s">
        <v>122</v>
      </c>
      <c r="F14" s="41">
        <v>18</v>
      </c>
      <c r="H14" s="43"/>
      <c r="I14" s="43"/>
    </row>
    <row r="15" spans="2:16" ht="20.149999999999999" customHeight="1" x14ac:dyDescent="0.4">
      <c r="B15" s="41">
        <v>2</v>
      </c>
      <c r="C15" s="42" t="s">
        <v>104</v>
      </c>
      <c r="D15" s="41" t="s">
        <v>26</v>
      </c>
      <c r="E15" s="41" t="s">
        <v>121</v>
      </c>
      <c r="F15" s="41"/>
      <c r="H15" s="43"/>
      <c r="I15" s="43"/>
    </row>
    <row r="16" spans="2:16" ht="20.149999999999999" customHeight="1" x14ac:dyDescent="0.4">
      <c r="B16" s="41">
        <v>3</v>
      </c>
      <c r="C16" s="42" t="s">
        <v>105</v>
      </c>
      <c r="D16" s="41" t="s">
        <v>27</v>
      </c>
      <c r="E16" s="39" t="s">
        <v>106</v>
      </c>
      <c r="F16" s="41"/>
      <c r="H16" s="43"/>
      <c r="I16" s="43"/>
    </row>
    <row r="17" spans="2:17" ht="20.149999999999999" customHeight="1" x14ac:dyDescent="0.4">
      <c r="B17" s="41">
        <v>4</v>
      </c>
      <c r="C17" s="42" t="s">
        <v>107</v>
      </c>
      <c r="D17" s="41" t="s">
        <v>29</v>
      </c>
      <c r="E17" s="39" t="s">
        <v>108</v>
      </c>
      <c r="F17" s="41"/>
      <c r="H17" s="43"/>
      <c r="I17" s="43"/>
    </row>
    <row r="18" spans="2:17" ht="20.149999999999999" customHeight="1" x14ac:dyDescent="0.4">
      <c r="B18" s="41">
        <v>5</v>
      </c>
      <c r="C18" s="42" t="s">
        <v>9</v>
      </c>
      <c r="D18" s="41" t="s">
        <v>30</v>
      </c>
      <c r="E18" s="39" t="s">
        <v>123</v>
      </c>
      <c r="F18" s="41"/>
      <c r="H18" s="43"/>
      <c r="I18" s="43"/>
    </row>
    <row r="19" spans="2:17" ht="20.149999999999999" customHeight="1" x14ac:dyDescent="0.4">
      <c r="B19" s="41">
        <v>6</v>
      </c>
      <c r="C19" s="42" t="s">
        <v>109</v>
      </c>
      <c r="D19" s="41" t="s">
        <v>53</v>
      </c>
      <c r="E19" s="55" t="s">
        <v>121</v>
      </c>
      <c r="F19" s="41"/>
      <c r="H19" s="43"/>
      <c r="I19" s="43"/>
    </row>
    <row r="20" spans="2:17" ht="20.149999999999999" customHeight="1" x14ac:dyDescent="0.4">
      <c r="B20" s="41">
        <v>7</v>
      </c>
      <c r="C20" s="42" t="s">
        <v>110</v>
      </c>
      <c r="D20" s="56"/>
      <c r="E20" s="41" t="s">
        <v>121</v>
      </c>
      <c r="F20" s="57"/>
      <c r="H20" s="43"/>
      <c r="I20" s="43"/>
    </row>
    <row r="21" spans="2:17" ht="20.149999999999999" customHeight="1" x14ac:dyDescent="0.4">
      <c r="C21" s="36" t="s">
        <v>111</v>
      </c>
      <c r="Q21" s="106"/>
    </row>
    <row r="22" spans="2:17" ht="28" customHeight="1" x14ac:dyDescent="0.4">
      <c r="C22" s="45" t="s">
        <v>125</v>
      </c>
      <c r="E22" s="103" t="s">
        <v>140</v>
      </c>
      <c r="F22" s="54"/>
      <c r="G22" s="44"/>
      <c r="H22" s="113" t="s">
        <v>112</v>
      </c>
      <c r="I22" s="113"/>
    </row>
    <row r="23" spans="2:17" ht="25" customHeight="1" x14ac:dyDescent="0.4">
      <c r="C23" s="45" t="s">
        <v>126</v>
      </c>
      <c r="E23" s="102" t="s">
        <v>144</v>
      </c>
      <c r="F23" s="33"/>
      <c r="H23" s="114">
        <v>18</v>
      </c>
      <c r="I23" s="114"/>
    </row>
    <row r="24" spans="2:17" ht="28" customHeight="1" x14ac:dyDescent="0.4">
      <c r="C24" s="47" t="s">
        <v>113</v>
      </c>
      <c r="E24" s="31"/>
      <c r="F24" s="48"/>
      <c r="G24" s="48"/>
      <c r="H24" s="46"/>
    </row>
    <row r="25" spans="2:17" ht="25" customHeight="1" x14ac:dyDescent="0.4">
      <c r="C25" s="47" t="s">
        <v>119</v>
      </c>
      <c r="E25" s="104" t="s">
        <v>145</v>
      </c>
      <c r="F25" s="30"/>
    </row>
    <row r="26" spans="2:17" ht="15" customHeight="1" x14ac:dyDescent="0.4">
      <c r="C26" s="49"/>
    </row>
    <row r="27" spans="2:17" ht="22.5" customHeight="1" x14ac:dyDescent="0.4">
      <c r="C27" s="47" t="s">
        <v>114</v>
      </c>
      <c r="E27" s="31"/>
      <c r="F27" s="30"/>
    </row>
    <row r="28" spans="2:17" ht="15" customHeight="1" x14ac:dyDescent="0.4">
      <c r="C28" s="47"/>
    </row>
    <row r="29" spans="2:17" ht="25" customHeight="1" x14ac:dyDescent="0.4">
      <c r="C29" s="45" t="s">
        <v>115</v>
      </c>
      <c r="D29" s="50"/>
      <c r="E29" s="31"/>
      <c r="F29" s="30"/>
      <c r="G29" s="30"/>
      <c r="H29" s="31"/>
      <c r="I29" s="31"/>
    </row>
    <row r="30" spans="2:17" ht="25" customHeight="1" x14ac:dyDescent="0.4">
      <c r="C30" s="53" t="s">
        <v>116</v>
      </c>
      <c r="E30" s="34"/>
      <c r="F30" s="51"/>
      <c r="G30" s="51"/>
      <c r="H30" s="52"/>
      <c r="I30" s="34"/>
    </row>
    <row r="31" spans="2:17" ht="25" customHeight="1" x14ac:dyDescent="0.4">
      <c r="C31" s="47" t="s">
        <v>120</v>
      </c>
      <c r="E31" s="34"/>
      <c r="F31" s="33"/>
    </row>
  </sheetData>
  <mergeCells count="2">
    <mergeCell ref="H22:I22"/>
    <mergeCell ref="H23:I23"/>
  </mergeCells>
  <pageMargins left="0.25" right="0.25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A7C1D-44AB-4DE0-AEC7-2FA3A3DEC1E7}">
  <sheetPr codeName="Sheet1"/>
  <dimension ref="A2:H12"/>
  <sheetViews>
    <sheetView workbookViewId="0">
      <selection activeCell="C5" sqref="C5"/>
    </sheetView>
  </sheetViews>
  <sheetFormatPr defaultRowHeight="14.5" x14ac:dyDescent="0.35"/>
  <cols>
    <col min="1" max="1" width="5.81640625" bestFit="1" customWidth="1"/>
    <col min="2" max="2" width="11.453125" customWidth="1"/>
    <col min="3" max="3" width="23" bestFit="1" customWidth="1"/>
    <col min="4" max="4" width="28.54296875" bestFit="1" customWidth="1"/>
    <col min="5" max="5" width="11.7265625" bestFit="1" customWidth="1"/>
    <col min="6" max="6" width="11.453125" bestFit="1" customWidth="1"/>
    <col min="7" max="7" width="15.26953125" bestFit="1" customWidth="1"/>
    <col min="8" max="8" width="41.26953125" customWidth="1"/>
  </cols>
  <sheetData>
    <row r="2" spans="1:8" x14ac:dyDescent="0.35">
      <c r="A2" s="15" t="s">
        <v>54</v>
      </c>
      <c r="B2" s="15" t="s">
        <v>55</v>
      </c>
      <c r="C2" s="15" t="s">
        <v>56</v>
      </c>
      <c r="D2" s="15" t="s">
        <v>57</v>
      </c>
      <c r="E2" s="15" t="s">
        <v>59</v>
      </c>
      <c r="F2" s="15" t="s">
        <v>60</v>
      </c>
      <c r="G2" s="15" t="s">
        <v>58</v>
      </c>
      <c r="H2" s="15" t="s">
        <v>135</v>
      </c>
    </row>
    <row r="3" spans="1:8" x14ac:dyDescent="0.35">
      <c r="A3" s="16">
        <v>1</v>
      </c>
      <c r="B3" s="17" t="s">
        <v>43</v>
      </c>
      <c r="C3" s="18" t="s">
        <v>61</v>
      </c>
      <c r="D3" s="18" t="s">
        <v>62</v>
      </c>
      <c r="E3" s="20" t="s">
        <v>64</v>
      </c>
      <c r="F3" s="21">
        <v>43405</v>
      </c>
      <c r="G3" s="19" t="s">
        <v>63</v>
      </c>
      <c r="H3" s="110" t="s">
        <v>131</v>
      </c>
    </row>
    <row r="4" spans="1:8" x14ac:dyDescent="0.35">
      <c r="A4" s="16">
        <v>2</v>
      </c>
      <c r="B4" s="17" t="s">
        <v>44</v>
      </c>
      <c r="C4" s="18" t="s">
        <v>34</v>
      </c>
      <c r="D4" s="18" t="s">
        <v>65</v>
      </c>
      <c r="E4" s="20" t="s">
        <v>67</v>
      </c>
      <c r="F4" s="21">
        <v>42461</v>
      </c>
      <c r="G4" s="19" t="s">
        <v>66</v>
      </c>
      <c r="H4" s="110" t="s">
        <v>134</v>
      </c>
    </row>
    <row r="5" spans="1:8" x14ac:dyDescent="0.35">
      <c r="A5" s="16">
        <v>3</v>
      </c>
      <c r="B5" s="17" t="s">
        <v>45</v>
      </c>
      <c r="C5" s="18" t="s">
        <v>35</v>
      </c>
      <c r="D5" s="18" t="s">
        <v>68</v>
      </c>
      <c r="E5" s="20" t="s">
        <v>70</v>
      </c>
      <c r="F5" s="21">
        <v>42309</v>
      </c>
      <c r="G5" s="19" t="s">
        <v>69</v>
      </c>
      <c r="H5" s="60"/>
    </row>
    <row r="6" spans="1:8" x14ac:dyDescent="0.35">
      <c r="A6" s="16">
        <v>4</v>
      </c>
      <c r="B6" s="17" t="s">
        <v>46</v>
      </c>
      <c r="C6" s="18" t="s">
        <v>36</v>
      </c>
      <c r="D6" s="18" t="s">
        <v>71</v>
      </c>
      <c r="E6" s="20" t="s">
        <v>73</v>
      </c>
      <c r="F6" s="21">
        <v>43132</v>
      </c>
      <c r="G6" s="19" t="s">
        <v>72</v>
      </c>
      <c r="H6" s="60" t="s">
        <v>130</v>
      </c>
    </row>
    <row r="7" spans="1:8" x14ac:dyDescent="0.35">
      <c r="A7" s="16">
        <v>5</v>
      </c>
      <c r="B7" s="17" t="s">
        <v>47</v>
      </c>
      <c r="C7" s="18" t="s">
        <v>37</v>
      </c>
      <c r="D7" s="18" t="s">
        <v>74</v>
      </c>
      <c r="E7" s="20" t="s">
        <v>76</v>
      </c>
      <c r="F7" s="21">
        <v>44317</v>
      </c>
      <c r="G7" s="19" t="s">
        <v>75</v>
      </c>
      <c r="H7" s="110" t="s">
        <v>132</v>
      </c>
    </row>
    <row r="8" spans="1:8" x14ac:dyDescent="0.35">
      <c r="A8" s="16">
        <v>6</v>
      </c>
      <c r="B8" s="17" t="s">
        <v>48</v>
      </c>
      <c r="C8" s="18" t="s">
        <v>77</v>
      </c>
      <c r="D8" s="18" t="s">
        <v>78</v>
      </c>
      <c r="E8" s="20" t="s">
        <v>80</v>
      </c>
      <c r="F8" s="21">
        <v>44348</v>
      </c>
      <c r="G8" s="19" t="s">
        <v>79</v>
      </c>
      <c r="H8" s="60"/>
    </row>
    <row r="9" spans="1:8" x14ac:dyDescent="0.35">
      <c r="A9" s="16">
        <v>7</v>
      </c>
      <c r="B9" s="17" t="s">
        <v>49</v>
      </c>
      <c r="C9" s="18" t="s">
        <v>39</v>
      </c>
      <c r="D9" s="18" t="s">
        <v>81</v>
      </c>
      <c r="E9" s="20" t="s">
        <v>83</v>
      </c>
      <c r="F9" s="21">
        <v>43862</v>
      </c>
      <c r="G9" s="19" t="s">
        <v>82</v>
      </c>
      <c r="H9" s="110" t="s">
        <v>133</v>
      </c>
    </row>
    <row r="10" spans="1:8" x14ac:dyDescent="0.35">
      <c r="A10" s="16">
        <v>8</v>
      </c>
      <c r="B10" s="17" t="s">
        <v>50</v>
      </c>
      <c r="C10" s="18" t="s">
        <v>40</v>
      </c>
      <c r="D10" s="18" t="s">
        <v>81</v>
      </c>
      <c r="E10" s="20" t="s">
        <v>85</v>
      </c>
      <c r="F10" s="21">
        <v>45108</v>
      </c>
      <c r="G10" s="19" t="s">
        <v>84</v>
      </c>
      <c r="H10" s="60" t="s">
        <v>129</v>
      </c>
    </row>
    <row r="11" spans="1:8" x14ac:dyDescent="0.35">
      <c r="A11" s="16">
        <v>9</v>
      </c>
      <c r="B11" s="17" t="s">
        <v>51</v>
      </c>
      <c r="C11" s="18" t="s">
        <v>41</v>
      </c>
      <c r="D11" s="18" t="s">
        <v>81</v>
      </c>
      <c r="E11" s="20" t="s">
        <v>87</v>
      </c>
      <c r="F11" s="21">
        <v>45544</v>
      </c>
      <c r="G11" s="19" t="s">
        <v>86</v>
      </c>
      <c r="H11" s="60" t="s">
        <v>128</v>
      </c>
    </row>
    <row r="12" spans="1:8" x14ac:dyDescent="0.35">
      <c r="A12" s="16">
        <v>10</v>
      </c>
      <c r="B12" s="17" t="s">
        <v>52</v>
      </c>
      <c r="C12" s="22" t="s">
        <v>88</v>
      </c>
      <c r="D12" s="18" t="s">
        <v>81</v>
      </c>
      <c r="E12" s="20" t="s">
        <v>90</v>
      </c>
      <c r="F12" s="21">
        <v>45663</v>
      </c>
      <c r="G12" s="19" t="s">
        <v>89</v>
      </c>
      <c r="H12" s="60" t="s">
        <v>127</v>
      </c>
    </row>
  </sheetData>
  <hyperlinks>
    <hyperlink ref="H7" r:id="rId1" xr:uid="{93133791-A59A-46A4-B86F-287C9E1BFCC9}"/>
    <hyperlink ref="H4" r:id="rId2" xr:uid="{DAE3A840-124D-4A49-8D3C-7CCBE321EE30}"/>
    <hyperlink ref="H3" r:id="rId3" xr:uid="{113B733B-DE42-4502-BCB6-084F259F0ABE}"/>
    <hyperlink ref="H9" r:id="rId4" xr:uid="{C4EEF95A-2F48-4621-A1E2-5AF53920791A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4</vt:i4>
      </vt:variant>
    </vt:vector>
  </HeadingPairs>
  <TitlesOfParts>
    <vt:vector size="20" baseType="lpstr">
      <vt:lpstr>UG Leave </vt:lpstr>
      <vt:lpstr>UG December 2026</vt:lpstr>
      <vt:lpstr>UG November 2026</vt:lpstr>
      <vt:lpstr>UG October 2026</vt:lpstr>
      <vt:lpstr>UG September 2026</vt:lpstr>
      <vt:lpstr>UG August 2026</vt:lpstr>
      <vt:lpstr>UG July 2026</vt:lpstr>
      <vt:lpstr>UG June 2026</vt:lpstr>
      <vt:lpstr>UG May 2026</vt:lpstr>
      <vt:lpstr>UG April 2026</vt:lpstr>
      <vt:lpstr>UG March 2026</vt:lpstr>
      <vt:lpstr>UG February 2026</vt:lpstr>
      <vt:lpstr>UG January 2026</vt:lpstr>
      <vt:lpstr>Leave Form</vt:lpstr>
      <vt:lpstr>Aneesh</vt:lpstr>
      <vt:lpstr>Employee List</vt:lpstr>
      <vt:lpstr>Aneesh!Check6</vt:lpstr>
      <vt:lpstr>'Leave Form'!Check6</vt:lpstr>
      <vt:lpstr>Aneesh!Print_Area</vt:lpstr>
      <vt:lpstr>'Leave Form'!Print_Area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Aneesh Mathew</dc:creator>
  <cp:keywords/>
  <dc:description/>
  <cp:lastModifiedBy>Aneesh Mathew</cp:lastModifiedBy>
  <cp:revision/>
  <cp:lastPrinted>2026-02-06T06:42:54Z</cp:lastPrinted>
  <dcterms:created xsi:type="dcterms:W3CDTF">2025-03-03T05:54:35Z</dcterms:created>
  <dcterms:modified xsi:type="dcterms:W3CDTF">2026-03-27T11:18:17Z</dcterms:modified>
  <cp:category/>
  <cp:contentStatus/>
</cp:coreProperties>
</file>