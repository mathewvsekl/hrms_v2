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8dhl\Vision Uganda\HR\HRMS Excel\HRMS UG 2026\"/>
    </mc:Choice>
  </mc:AlternateContent>
  <xr:revisionPtr revIDLastSave="0" documentId="13_ncr:1_{BD2FB9C3-01F3-4D9E-945B-C6B79851BEBA}" xr6:coauthVersionLast="47" xr6:coauthVersionMax="47" xr10:uidLastSave="{00000000-0000-0000-0000-000000000000}"/>
  <workbookProtection lockStructure="1"/>
  <bookViews>
    <workbookView xWindow="-110" yWindow="-110" windowWidth="19420" windowHeight="11500" xr2:uid="{46E4BA9C-37D8-4DF3-A2A0-ABED7E93C754}"/>
  </bookViews>
  <sheets>
    <sheet name="Master Sheet" sheetId="18" r:id="rId1"/>
    <sheet name="Payslip" sheetId="19" r:id="rId2"/>
  </sheets>
  <functionGroups builtInGroupCount="19"/>
  <definedNames>
    <definedName name="_xleta.IF" hidden="1" xlm="1">#NAME?</definedName>
    <definedName name="_xleta.MONTH" hidden="1" xlm="1">#NAME?</definedName>
    <definedName name="_xlnm.Print_Area" localSheetId="1">Payslip!$A$1:$I$43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8" i="18" l="1"/>
  <c r="I18" i="18"/>
  <c r="L17" i="18"/>
  <c r="N17" i="18" s="1"/>
  <c r="R18" i="18"/>
  <c r="M17" i="18" l="1"/>
  <c r="Q17" i="18"/>
  <c r="O17" i="18"/>
  <c r="P17" i="18" s="1"/>
  <c r="F23" i="18" s="1"/>
  <c r="C10" i="19"/>
  <c r="G12" i="19"/>
  <c r="L16" i="18" l="1"/>
  <c r="M16" i="18" l="1"/>
  <c r="Q16" i="18"/>
  <c r="N16" i="18"/>
  <c r="O16" i="18"/>
  <c r="AM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U6" i="18"/>
  <c r="U7" i="18"/>
  <c r="L7" i="18"/>
  <c r="L13" i="18"/>
  <c r="L14" i="18"/>
  <c r="F26" i="18"/>
  <c r="L8" i="18"/>
  <c r="L9" i="18"/>
  <c r="L10" i="18"/>
  <c r="L15" i="18"/>
  <c r="L12" i="18"/>
  <c r="L11" i="18"/>
  <c r="M11" i="18" s="1"/>
  <c r="AD7" i="18" l="1"/>
  <c r="D20" i="19" s="1"/>
  <c r="C20" i="19" s="1"/>
  <c r="V7" i="18"/>
  <c r="Y7" i="18"/>
  <c r="G14" i="19" s="1"/>
  <c r="X7" i="18"/>
  <c r="D14" i="19" s="1"/>
  <c r="AE7" i="18"/>
  <c r="AK7" i="18"/>
  <c r="AC7" i="18"/>
  <c r="D19" i="19" s="1"/>
  <c r="C19" i="19" s="1"/>
  <c r="AB7" i="18"/>
  <c r="D18" i="19" s="1"/>
  <c r="AA7" i="18"/>
  <c r="G15" i="19" s="1"/>
  <c r="Z7" i="18"/>
  <c r="D15" i="19" s="1"/>
  <c r="W7" i="18"/>
  <c r="L18" i="18"/>
  <c r="E21" i="18" s="1"/>
  <c r="P16" i="18"/>
  <c r="S16" i="18" s="1"/>
  <c r="T16" i="18" s="1"/>
  <c r="Q12" i="18"/>
  <c r="O10" i="18"/>
  <c r="Q14" i="18"/>
  <c r="M15" i="18"/>
  <c r="Q9" i="18"/>
  <c r="N13" i="18"/>
  <c r="N8" i="18"/>
  <c r="Q7" i="18"/>
  <c r="AJ7" i="18" s="1"/>
  <c r="O13" i="18"/>
  <c r="M8" i="18"/>
  <c r="Q8" i="18"/>
  <c r="O8" i="18"/>
  <c r="M12" i="18"/>
  <c r="M10" i="18"/>
  <c r="N14" i="18"/>
  <c r="Q10" i="18"/>
  <c r="O14" i="18"/>
  <c r="O12" i="18"/>
  <c r="N15" i="18"/>
  <c r="M14" i="18"/>
  <c r="N11" i="18"/>
  <c r="M7" i="18"/>
  <c r="AF7" i="18" s="1"/>
  <c r="Q13" i="18"/>
  <c r="O15" i="18"/>
  <c r="N12" i="18"/>
  <c r="O7" i="18"/>
  <c r="AH7" i="18" s="1"/>
  <c r="M9" i="18"/>
  <c r="Q15" i="18"/>
  <c r="O11" i="18"/>
  <c r="Q11" i="18"/>
  <c r="N9" i="18"/>
  <c r="N7" i="18"/>
  <c r="AG7" i="18" s="1"/>
  <c r="O9" i="18"/>
  <c r="N10" i="18"/>
  <c r="M13" i="18"/>
  <c r="P12" i="18" l="1"/>
  <c r="G20" i="19"/>
  <c r="F20" i="19" s="1"/>
  <c r="O18" i="18"/>
  <c r="F25" i="18" s="1"/>
  <c r="Q18" i="18"/>
  <c r="N18" i="18"/>
  <c r="F24" i="18" s="1"/>
  <c r="P15" i="18"/>
  <c r="S15" i="18" s="1"/>
  <c r="T15" i="18" s="1"/>
  <c r="P8" i="18"/>
  <c r="D21" i="19"/>
  <c r="G18" i="19" s="1"/>
  <c r="P7" i="18"/>
  <c r="AI7" i="18" s="1"/>
  <c r="P9" i="18"/>
  <c r="S9" i="18" s="1"/>
  <c r="T9" i="18" s="1"/>
  <c r="P13" i="18"/>
  <c r="S13" i="18" s="1"/>
  <c r="T13" i="18" s="1"/>
  <c r="P14" i="18"/>
  <c r="S14" i="18" s="1"/>
  <c r="T14" i="18" s="1"/>
  <c r="P11" i="18"/>
  <c r="P10" i="18"/>
  <c r="S10" i="18" s="1"/>
  <c r="T10" i="18" s="1"/>
  <c r="D13" i="19"/>
  <c r="G13" i="19"/>
  <c r="M18" i="18"/>
  <c r="S12" i="18"/>
  <c r="T12" i="18" s="1"/>
  <c r="P18" i="18" l="1"/>
  <c r="S8" i="18"/>
  <c r="T8" i="18" s="1"/>
  <c r="G22" i="19"/>
  <c r="G19" i="19"/>
  <c r="G21" i="19" s="1"/>
  <c r="S7" i="18"/>
  <c r="E27" i="18"/>
  <c r="S11" i="18"/>
  <c r="AL7" i="18" l="1"/>
  <c r="S18" i="18"/>
  <c r="F22" i="18" s="1"/>
  <c r="T7" i="18"/>
  <c r="AM7" i="18" s="1"/>
  <c r="G23" i="19"/>
  <c r="G24" i="19" s="1"/>
  <c r="F28" i="18"/>
  <c r="E29" i="18"/>
  <c r="T11" i="18"/>
  <c r="D26" i="19" a="1"/>
  <c r="F29" i="18" l="1"/>
  <c r="G29" i="18" s="1"/>
  <c r="T18" i="18"/>
  <c r="D26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<sst xmlns="http://schemas.openxmlformats.org/spreadsheetml/2006/main" count="120" uniqueCount="93">
  <si>
    <t>Month of Pay</t>
  </si>
  <si>
    <t>Date of Payment</t>
  </si>
  <si>
    <t>GROSS CHARGABLE INCOME</t>
  </si>
  <si>
    <t>DEDUCTIONS</t>
  </si>
  <si>
    <t>NET PAY</t>
  </si>
  <si>
    <t>NSSF Company Contribution</t>
  </si>
  <si>
    <t xml:space="preserve"> Advance deductions</t>
  </si>
  <si>
    <t>TRANSFER TO BANK</t>
  </si>
  <si>
    <t>EMPLOYEE NO.</t>
  </si>
  <si>
    <t>STAFF ID</t>
  </si>
  <si>
    <t>EMPLOYEE NAME</t>
  </si>
  <si>
    <t>DESIGNATION</t>
  </si>
  <si>
    <t>TIN NO.</t>
  </si>
  <si>
    <t>NSSF</t>
  </si>
  <si>
    <t>Bank Account No</t>
  </si>
  <si>
    <t>Bank Name</t>
  </si>
  <si>
    <t>Basic Pay</t>
  </si>
  <si>
    <t xml:space="preserve">Commisions </t>
  </si>
  <si>
    <t>Other Earnings</t>
  </si>
  <si>
    <t>LCY</t>
  </si>
  <si>
    <t>USD</t>
  </si>
  <si>
    <t>PAYEE</t>
  </si>
  <si>
    <t>NSSF2</t>
  </si>
  <si>
    <t>NSSF4</t>
  </si>
  <si>
    <t>Column5</t>
  </si>
  <si>
    <t>LCY6</t>
  </si>
  <si>
    <t>VUEMP001</t>
  </si>
  <si>
    <t>Nyinimuntu Angela</t>
  </si>
  <si>
    <t>Bank of Baroda</t>
  </si>
  <si>
    <t>VUEMP002</t>
  </si>
  <si>
    <t>Joseph Opolot</t>
  </si>
  <si>
    <t>Finance Manager</t>
  </si>
  <si>
    <t>VUEMP004</t>
  </si>
  <si>
    <t>Moses Ikwara</t>
  </si>
  <si>
    <t>Ware House Executive</t>
  </si>
  <si>
    <t>VUEMP005</t>
  </si>
  <si>
    <t>Hawa Sirikye</t>
  </si>
  <si>
    <t>Front Office Executive</t>
  </si>
  <si>
    <t>VUEMP008</t>
  </si>
  <si>
    <t>Aneesh Mathew</t>
  </si>
  <si>
    <t>Country Manager</t>
  </si>
  <si>
    <t>VUEMP009</t>
  </si>
  <si>
    <t>Atim Bernadette</t>
  </si>
  <si>
    <t>Office Assistant</t>
  </si>
  <si>
    <t>VUEMP011</t>
  </si>
  <si>
    <t>Kawunde Paul</t>
  </si>
  <si>
    <t>Business Development Executive</t>
  </si>
  <si>
    <t>VUEMP015</t>
  </si>
  <si>
    <t>Lubega Joel Brian</t>
  </si>
  <si>
    <t>VUEMP017</t>
  </si>
  <si>
    <t>Joseph Wetaka Wandega</t>
  </si>
  <si>
    <t>VUEMP018</t>
  </si>
  <si>
    <t>Solomon Kiwunda</t>
  </si>
  <si>
    <t>Centenary Bank</t>
  </si>
  <si>
    <t>Grand Totals</t>
  </si>
  <si>
    <t>Dr</t>
  </si>
  <si>
    <t>Gross Pay</t>
  </si>
  <si>
    <t>Cr</t>
  </si>
  <si>
    <t>Net Salaries</t>
  </si>
  <si>
    <t>5% NSSF Payable</t>
  </si>
  <si>
    <t>Advance</t>
  </si>
  <si>
    <t>10% NSSF</t>
  </si>
  <si>
    <t xml:space="preserve"> Nssf Payable</t>
  </si>
  <si>
    <t>VISION SCIENTIFIC AND ENGINEERING UGANDA LIMITED</t>
  </si>
  <si>
    <t>Plot No. 231-233, Sixth Street Industrial Area Kampala Uganda</t>
  </si>
  <si>
    <t>admin.ug@visionscientificafrica.com | +256 7091 67800</t>
  </si>
  <si>
    <t>www.visionscientificafrica.com</t>
  </si>
  <si>
    <t>Employee ID                   :</t>
  </si>
  <si>
    <t>Pay Date              :</t>
  </si>
  <si>
    <t>Employee Name             :</t>
  </si>
  <si>
    <t>Designation         :</t>
  </si>
  <si>
    <t>TIN                                  :</t>
  </si>
  <si>
    <t>NSSF No             :</t>
  </si>
  <si>
    <t>Bank Account No          :</t>
  </si>
  <si>
    <t>Bank Name         :</t>
  </si>
  <si>
    <t>Employee Pay Summary</t>
  </si>
  <si>
    <t>EARNINGS</t>
  </si>
  <si>
    <t>AMOUNT</t>
  </si>
  <si>
    <t>Gross Salary</t>
  </si>
  <si>
    <t>PAYE</t>
  </si>
  <si>
    <t>Gross Earnings</t>
  </si>
  <si>
    <t>Total Deductions</t>
  </si>
  <si>
    <t>Total Net Amount Payable in Words</t>
  </si>
  <si>
    <t>**Total Net Payable = Gross Earnings - Total Deductions</t>
  </si>
  <si>
    <t>Total Cost to the Company</t>
  </si>
  <si>
    <t>Vision Scientific and Engineering and Uganda Limited</t>
  </si>
  <si>
    <t>Payroll Calculations</t>
  </si>
  <si>
    <t>Sales Manager</t>
  </si>
  <si>
    <t xml:space="preserve">Total Net Payable**  </t>
  </si>
  <si>
    <t>VUEMP019</t>
  </si>
  <si>
    <t>CEO</t>
  </si>
  <si>
    <t>Prem Kishore Babu Kumaradas</t>
  </si>
  <si>
    <t>Payable CEO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</si>
</sst>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mmmm\,\ yyyy"/>
    <numFmt numFmtId="166" formatCode="&quot;UGX&quot;\ #,##0.00;&quot;-UGX&quot;#,##0.00"/>
    <numFmt numFmtId="167" formatCode="_(* #,##0_);_(* \(#,##0\);_(* &quot;-&quot;??_);_(@_)"/>
    <numFmt numFmtId="168" formatCode="_(* #,##0.000_);_(* \(#,##0.000\);_(* &quot;-&quot;??_);_(@_)"/>
    <numFmt numFmtId="169" formatCode="_-* #,##0.00_-;\-* #,##0.00_-;_-* &quot;-&quot;_-;_-@_-"/>
    <numFmt numFmtId="170" formatCode="&quot;UGX&quot;\ #,##0.00;&quot;-UGX&quot;\ #,##0.00"/>
    <numFmt numFmtId="171" formatCode="&quot;Payslip for the Month of  &quot;mmmm\,\ yyyy"/>
  </numFmts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3"/>
      <color theme="1"/>
      <name val="AvantGarde Bk BT"/>
      <family val="2"/>
    </font>
    <font>
      <sz val="11"/>
      <color theme="1"/>
      <name val="Helvetica"/>
    </font>
    <font>
      <b/>
      <sz val="11"/>
      <color indexed="8"/>
      <name val="Helvetica"/>
    </font>
    <font>
      <b/>
      <sz val="11"/>
      <color theme="1"/>
      <name val="Helvetica"/>
    </font>
    <font>
      <sz val="11"/>
      <color indexed="8"/>
      <name val="Helvetica"/>
    </font>
    <font>
      <sz val="12"/>
      <color rgb="FF000000"/>
      <name val="Calibri"/>
      <family val="2"/>
      <charset val="1"/>
    </font>
    <font>
      <sz val="11"/>
      <color rgb="FF000000"/>
      <name val="Calibri"/>
      <family val="2"/>
    </font>
    <font>
      <b/>
      <u/>
      <sz val="12"/>
      <color theme="1"/>
      <name val="Helvetica"/>
    </font>
    <font>
      <b/>
      <sz val="11"/>
      <color theme="1"/>
      <name val="AvantGarde Bk BT"/>
      <family val="2"/>
    </font>
    <font>
      <b/>
      <sz val="11"/>
      <color rgb="FFFF0000"/>
      <name val="Aptos Narrow"/>
      <family val="2"/>
      <scheme val="minor"/>
    </font>
    <font>
      <b/>
      <sz val="12"/>
      <color indexed="8"/>
      <name val="Helvetica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7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43" fontId="0" fillId="0" borderId="0" xfId="1" applyFont="1" applyAlignment="1">
      <alignment horizontal="center"/>
    </xf>
    <xf numFmtId="43" fontId="1" fillId="0" borderId="8" xfId="1" applyFont="1" applyBorder="1" applyAlignment="1">
      <alignment horizontal="center" vertical="center" wrapText="1"/>
    </xf>
    <xf numFmtId="43" fontId="1" fillId="0" borderId="1" xfId="1" applyFont="1" applyBorder="1" applyAlignment="1">
      <alignment horizontal="center" vertical="center" wrapText="1"/>
    </xf>
    <xf numFmtId="0" fontId="1" fillId="0" borderId="1" xfId="0" applyFont="1" applyBorder="1" applyAlignment="1">
      <alignment horizontal="right"/>
    </xf>
    <xf numFmtId="0" fontId="0" fillId="3" borderId="1" xfId="0" applyFill="1" applyBorder="1"/>
    <xf numFmtId="0" fontId="0" fillId="0" borderId="1" xfId="0" applyBorder="1"/>
    <xf numFmtId="43" fontId="1" fillId="0" borderId="8" xfId="1" applyFont="1" applyBorder="1" applyAlignment="1">
      <alignment horizontal="right" vertical="center"/>
    </xf>
    <xf numFmtId="43" fontId="1" fillId="0" borderId="1" xfId="1" applyFont="1" applyBorder="1" applyAlignment="1">
      <alignment horizontal="right" vertical="center"/>
    </xf>
    <xf numFmtId="9" fontId="1" fillId="0" borderId="1" xfId="3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167" fontId="0" fillId="3" borderId="1" xfId="0" applyNumberFormat="1" applyFill="1" applyBorder="1"/>
    <xf numFmtId="43" fontId="0" fillId="3" borderId="1" xfId="0" applyNumberFormat="1" applyFill="1" applyBorder="1"/>
    <xf numFmtId="43" fontId="0" fillId="0" borderId="0" xfId="0" applyNumberFormat="1"/>
    <xf numFmtId="167" fontId="1" fillId="3" borderId="1" xfId="0" applyNumberFormat="1" applyFont="1" applyFill="1" applyBorder="1"/>
    <xf numFmtId="167" fontId="0" fillId="0" borderId="0" xfId="1" applyNumberFormat="1" applyFont="1"/>
    <xf numFmtId="43" fontId="0" fillId="0" borderId="0" xfId="1" applyFont="1"/>
    <xf numFmtId="164" fontId="0" fillId="0" borderId="0" xfId="0" applyNumberFormat="1"/>
    <xf numFmtId="1" fontId="8" fillId="2" borderId="0" xfId="0" applyNumberFormat="1" applyFont="1" applyFill="1" applyAlignment="1" applyProtection="1">
      <alignment vertical="center"/>
      <protection locked="0"/>
    </xf>
    <xf numFmtId="167" fontId="0" fillId="3" borderId="6" xfId="0" applyNumberFormat="1" applyFill="1" applyBorder="1"/>
    <xf numFmtId="0" fontId="0" fillId="3" borderId="16" xfId="0" applyFill="1" applyBorder="1"/>
    <xf numFmtId="167" fontId="0" fillId="3" borderId="10" xfId="0" applyNumberFormat="1" applyFill="1" applyBorder="1"/>
    <xf numFmtId="1" fontId="0" fillId="0" borderId="0" xfId="0" applyNumberFormat="1"/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vertical="center" wrapText="1"/>
    </xf>
    <xf numFmtId="0" fontId="0" fillId="3" borderId="1" xfId="0" applyFill="1" applyBorder="1" applyAlignment="1">
      <alignment vertical="center"/>
    </xf>
    <xf numFmtId="167" fontId="1" fillId="5" borderId="1" xfId="0" applyNumberFormat="1" applyFont="1" applyFill="1" applyBorder="1" applyAlignment="1">
      <alignment horizontal="right"/>
    </xf>
    <xf numFmtId="167" fontId="1" fillId="0" borderId="1" xfId="0" applyNumberFormat="1" applyFont="1" applyBorder="1" applyAlignment="1">
      <alignment horizontal="right"/>
    </xf>
    <xf numFmtId="41" fontId="0" fillId="0" borderId="0" xfId="2" applyFont="1" applyProtection="1">
      <protection locked="0"/>
    </xf>
    <xf numFmtId="41" fontId="1" fillId="0" borderId="1" xfId="2" applyFont="1" applyBorder="1" applyAlignment="1" applyProtection="1">
      <alignment vertical="center" wrapText="1"/>
      <protection locked="0"/>
    </xf>
    <xf numFmtId="41" fontId="0" fillId="0" borderId="1" xfId="2" applyFont="1" applyBorder="1" applyProtection="1">
      <protection locked="0"/>
    </xf>
    <xf numFmtId="41" fontId="0" fillId="0" borderId="7" xfId="2" applyFont="1" applyBorder="1" applyProtection="1">
      <protection locked="0"/>
    </xf>
    <xf numFmtId="43" fontId="0" fillId="0" borderId="1" xfId="1" applyFont="1" applyBorder="1" applyProtection="1">
      <protection locked="0"/>
    </xf>
    <xf numFmtId="43" fontId="0" fillId="0" borderId="1" xfId="1" applyFont="1" applyFill="1" applyBorder="1" applyProtection="1">
      <protection locked="0"/>
    </xf>
    <xf numFmtId="43" fontId="0" fillId="0" borderId="8" xfId="1" applyFont="1" applyBorder="1" applyProtection="1">
      <protection locked="0"/>
    </xf>
    <xf numFmtId="0" fontId="0" fillId="0" borderId="0" xfId="0" applyProtection="1">
      <protection locked="0"/>
    </xf>
    <xf numFmtId="17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right" vertical="center"/>
      <protection locked="0"/>
    </xf>
    <xf numFmtId="0" fontId="0" fillId="0" borderId="0" xfId="0" applyAlignment="1" applyProtection="1">
      <alignment vertical="center"/>
      <protection locked="0"/>
    </xf>
    <xf numFmtId="0" fontId="1" fillId="0" borderId="1" xfId="0" applyFont="1" applyBorder="1" applyAlignment="1" applyProtection="1">
      <alignment vertical="center"/>
      <protection locked="0"/>
    </xf>
    <xf numFmtId="0" fontId="1" fillId="0" borderId="8" xfId="0" applyFont="1" applyBorder="1" applyAlignment="1" applyProtection="1">
      <alignment vertical="center"/>
      <protection locked="0"/>
    </xf>
    <xf numFmtId="0" fontId="0" fillId="0" borderId="1" xfId="0" applyBorder="1" applyProtection="1">
      <protection locked="0"/>
    </xf>
    <xf numFmtId="0" fontId="1" fillId="0" borderId="14" xfId="0" applyFont="1" applyBorder="1" applyAlignment="1" applyProtection="1">
      <alignment horizontal="center" vertical="center" wrapText="1"/>
      <protection locked="0"/>
    </xf>
    <xf numFmtId="0" fontId="0" fillId="0" borderId="7" xfId="0" applyBorder="1" applyProtection="1">
      <protection locked="0"/>
    </xf>
    <xf numFmtId="0" fontId="1" fillId="0" borderId="7" xfId="0" applyFont="1" applyBorder="1" applyAlignment="1" applyProtection="1">
      <alignment vertical="center"/>
      <protection locked="0"/>
    </xf>
    <xf numFmtId="0" fontId="1" fillId="0" borderId="15" xfId="0" applyFont="1" applyBorder="1" applyAlignment="1" applyProtection="1">
      <alignment vertic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6" xfId="0" applyBorder="1" applyAlignment="1" applyProtection="1">
      <alignment vertical="center"/>
      <protection locked="0"/>
    </xf>
    <xf numFmtId="1" fontId="9" fillId="0" borderId="0" xfId="0" applyNumberFormat="1" applyFont="1" applyProtection="1">
      <protection locked="0"/>
    </xf>
    <xf numFmtId="1" fontId="10" fillId="0" borderId="1" xfId="0" applyNumberFormat="1" applyFont="1" applyBorder="1" applyProtection="1">
      <protection locked="0"/>
    </xf>
    <xf numFmtId="43" fontId="0" fillId="0" borderId="1" xfId="1" applyFont="1" applyBorder="1" applyAlignment="1" applyProtection="1">
      <alignment vertical="center"/>
      <protection locked="0"/>
    </xf>
    <xf numFmtId="1" fontId="0" fillId="0" borderId="1" xfId="0" applyNumberFormat="1" applyBorder="1" applyAlignment="1" applyProtection="1">
      <alignment vertic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0" fillId="0" borderId="8" xfId="0" applyBorder="1" applyAlignment="1" applyProtection="1">
      <alignment vertical="center"/>
      <protection locked="0"/>
    </xf>
    <xf numFmtId="43" fontId="0" fillId="0" borderId="8" xfId="1" applyFont="1" applyBorder="1" applyAlignment="1" applyProtection="1">
      <alignment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10" fillId="0" borderId="1" xfId="0" applyFont="1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167" fontId="0" fillId="0" borderId="0" xfId="1" applyNumberFormat="1" applyFont="1" applyAlignment="1" applyProtection="1">
      <alignment vertical="center"/>
      <protection locked="0"/>
    </xf>
    <xf numFmtId="43" fontId="0" fillId="0" borderId="0" xfId="1" applyFont="1" applyProtection="1">
      <protection locked="0"/>
    </xf>
    <xf numFmtId="168" fontId="0" fillId="0" borderId="0" xfId="1" applyNumberFormat="1" applyFont="1" applyProtection="1">
      <protection locked="0"/>
    </xf>
    <xf numFmtId="169" fontId="0" fillId="0" borderId="0" xfId="2" applyNumberFormat="1" applyFont="1" applyProtection="1">
      <protection locked="0"/>
    </xf>
    <xf numFmtId="17" fontId="1" fillId="0" borderId="0" xfId="0" applyNumberFormat="1" applyFont="1" applyAlignment="1">
      <alignment horizontal="left"/>
    </xf>
    <xf numFmtId="0" fontId="0" fillId="0" borderId="0" xfId="1" applyNumberFormat="1" applyFont="1" applyAlignment="1" applyProtection="1">
      <alignment horizontal="right"/>
    </xf>
    <xf numFmtId="43" fontId="0" fillId="0" borderId="0" xfId="1" applyFont="1" applyProtection="1"/>
    <xf numFmtId="0" fontId="0" fillId="0" borderId="0" xfId="1" applyNumberFormat="1" applyFont="1" applyAlignment="1" applyProtection="1">
      <alignment horizontal="right" vertical="center"/>
    </xf>
    <xf numFmtId="0" fontId="0" fillId="0" borderId="0" xfId="1" applyNumberFormat="1" applyFont="1" applyProtection="1"/>
    <xf numFmtId="168" fontId="0" fillId="0" borderId="0" xfId="1" applyNumberFormat="1" applyFont="1" applyProtection="1"/>
    <xf numFmtId="16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3" fontId="0" fillId="0" borderId="0" xfId="1" applyFont="1" applyAlignment="1" applyProtection="1">
      <alignment horizontal="center"/>
    </xf>
    <xf numFmtId="167" fontId="0" fillId="0" borderId="0" xfId="0" applyNumberFormat="1" applyAlignment="1">
      <alignment horizontal="right"/>
    </xf>
    <xf numFmtId="169" fontId="0" fillId="0" borderId="0" xfId="2" applyNumberFormat="1" applyFont="1" applyProtection="1"/>
    <xf numFmtId="0" fontId="0" fillId="0" borderId="9" xfId="0" applyBorder="1"/>
    <xf numFmtId="43" fontId="0" fillId="0" borderId="9" xfId="1" applyFont="1" applyBorder="1" applyProtection="1"/>
    <xf numFmtId="43" fontId="0" fillId="0" borderId="9" xfId="0" applyNumberFormat="1" applyBorder="1"/>
    <xf numFmtId="1" fontId="10" fillId="0" borderId="1" xfId="0" applyNumberFormat="1" applyFont="1" applyBorder="1" applyAlignment="1" applyProtection="1">
      <alignment vertical="center"/>
      <protection locked="0"/>
    </xf>
    <xf numFmtId="43" fontId="1" fillId="3" borderId="15" xfId="1" applyFont="1" applyFill="1" applyBorder="1" applyAlignment="1" applyProtection="1">
      <alignment horizontal="right" vertical="center"/>
    </xf>
    <xf numFmtId="167" fontId="1" fillId="0" borderId="7" xfId="1" applyNumberFormat="1" applyFont="1" applyBorder="1" applyAlignment="1" applyProtection="1">
      <alignment horizontal="center"/>
    </xf>
    <xf numFmtId="0" fontId="1" fillId="0" borderId="7" xfId="0" applyFont="1" applyBorder="1" applyAlignment="1">
      <alignment horizontal="right"/>
    </xf>
    <xf numFmtId="43" fontId="2" fillId="4" borderId="1" xfId="1" applyFill="1" applyBorder="1" applyAlignment="1" applyProtection="1">
      <alignment horizontal="left" vertical="center" wrapText="1"/>
    </xf>
    <xf numFmtId="43" fontId="2" fillId="3" borderId="5" xfId="1" applyFill="1" applyBorder="1" applyAlignment="1" applyProtection="1">
      <alignment horizontal="left" vertical="center" wrapText="1"/>
    </xf>
    <xf numFmtId="167" fontId="2" fillId="0" borderId="5" xfId="1" applyNumberFormat="1" applyBorder="1" applyProtection="1"/>
    <xf numFmtId="167" fontId="2" fillId="0" borderId="1" xfId="1" applyNumberFormat="1" applyBorder="1" applyProtection="1"/>
    <xf numFmtId="164" fontId="0" fillId="0" borderId="1" xfId="0" applyNumberFormat="1" applyBorder="1" applyAlignment="1">
      <alignment horizontal="center"/>
    </xf>
    <xf numFmtId="167" fontId="2" fillId="0" borderId="5" xfId="1" applyNumberFormat="1" applyFill="1" applyBorder="1" applyProtection="1"/>
    <xf numFmtId="167" fontId="2" fillId="0" borderId="1" xfId="1" applyNumberFormat="1" applyFill="1" applyBorder="1" applyProtection="1"/>
    <xf numFmtId="43" fontId="2" fillId="4" borderId="8" xfId="1" applyFill="1" applyBorder="1" applyAlignment="1" applyProtection="1">
      <alignment horizontal="left" vertical="center" wrapText="1"/>
    </xf>
    <xf numFmtId="43" fontId="2" fillId="3" borderId="17" xfId="1" applyFill="1" applyBorder="1" applyAlignment="1" applyProtection="1">
      <alignment horizontal="left" vertical="center" wrapText="1"/>
    </xf>
    <xf numFmtId="167" fontId="2" fillId="0" borderId="17" xfId="1" applyNumberFormat="1" applyBorder="1" applyProtection="1"/>
    <xf numFmtId="167" fontId="2" fillId="0" borderId="8" xfId="1" applyNumberFormat="1" applyBorder="1" applyProtection="1"/>
    <xf numFmtId="167" fontId="1" fillId="0" borderId="8" xfId="0" applyNumberFormat="1" applyFont="1" applyBorder="1" applyAlignment="1">
      <alignment horizontal="right"/>
    </xf>
    <xf numFmtId="164" fontId="0" fillId="0" borderId="8" xfId="0" applyNumberFormat="1" applyBorder="1" applyAlignment="1">
      <alignment horizontal="center"/>
    </xf>
    <xf numFmtId="164" fontId="1" fillId="3" borderId="1" xfId="0" applyNumberFormat="1" applyFont="1" applyFill="1" applyBorder="1"/>
    <xf numFmtId="164" fontId="1" fillId="0" borderId="1" xfId="0" applyNumberFormat="1" applyFont="1" applyBorder="1"/>
    <xf numFmtId="0" fontId="1" fillId="0" borderId="2" xfId="0" applyFont="1" applyBorder="1" applyProtection="1">
      <protection locked="0"/>
    </xf>
    <xf numFmtId="0" fontId="12" fillId="0" borderId="0" xfId="0" applyFont="1" applyProtection="1">
      <protection locked="0"/>
    </xf>
    <xf numFmtId="0" fontId="1" fillId="0" borderId="0" xfId="0" applyFont="1" applyProtection="1">
      <protection locked="0"/>
    </xf>
    <xf numFmtId="14" fontId="13" fillId="4" borderId="0" xfId="0" applyNumberFormat="1" applyFont="1" applyFill="1" applyAlignment="1" applyProtection="1">
      <alignment vertical="center"/>
      <protection locked="0"/>
    </xf>
    <xf numFmtId="165" fontId="13" fillId="4" borderId="0" xfId="0" applyNumberFormat="1" applyFont="1" applyFill="1" applyAlignment="1" applyProtection="1">
      <alignment horizontal="left" vertical="center"/>
      <protection locked="0"/>
    </xf>
    <xf numFmtId="0" fontId="5" fillId="2" borderId="0" xfId="0" applyFont="1" applyFill="1"/>
    <xf numFmtId="0" fontId="5" fillId="2" borderId="0" xfId="0" applyFont="1" applyFill="1" applyAlignment="1">
      <alignment horizontal="right"/>
    </xf>
    <xf numFmtId="165" fontId="5" fillId="2" borderId="0" xfId="0" applyNumberFormat="1" applyFont="1" applyFill="1"/>
    <xf numFmtId="0" fontId="5" fillId="2" borderId="0" xfId="0" applyFont="1" applyFill="1" applyAlignment="1">
      <alignment vertical="center"/>
    </xf>
    <xf numFmtId="49" fontId="5" fillId="2" borderId="0" xfId="0" applyNumberFormat="1" applyFont="1" applyFill="1" applyAlignment="1">
      <alignment vertical="center"/>
    </xf>
    <xf numFmtId="49" fontId="6" fillId="2" borderId="0" xfId="0" applyNumberFormat="1" applyFont="1" applyFill="1" applyAlignment="1">
      <alignment horizontal="right" vertical="center"/>
    </xf>
    <xf numFmtId="165" fontId="5" fillId="2" borderId="0" xfId="0" applyNumberFormat="1" applyFont="1" applyFill="1" applyAlignment="1">
      <alignment horizontal="left" vertical="center"/>
    </xf>
    <xf numFmtId="49" fontId="6" fillId="2" borderId="0" xfId="0" applyNumberFormat="1" applyFont="1" applyFill="1" applyAlignment="1">
      <alignment vertical="center"/>
    </xf>
    <xf numFmtId="1" fontId="8" fillId="2" borderId="0" xfId="0" applyNumberFormat="1" applyFont="1" applyFill="1" applyAlignment="1">
      <alignment vertical="center"/>
    </xf>
    <xf numFmtId="49" fontId="7" fillId="2" borderId="0" xfId="0" applyNumberFormat="1" applyFont="1" applyFill="1" applyAlignment="1">
      <alignment vertical="center"/>
    </xf>
    <xf numFmtId="14" fontId="5" fillId="2" borderId="0" xfId="0" applyNumberFormat="1" applyFont="1" applyFill="1" applyAlignment="1">
      <alignment horizontal="left" vertical="center"/>
    </xf>
    <xf numFmtId="166" fontId="5" fillId="2" borderId="0" xfId="0" applyNumberFormat="1" applyFont="1" applyFill="1" applyAlignment="1">
      <alignment vertical="center"/>
    </xf>
    <xf numFmtId="1" fontId="5" fillId="2" borderId="0" xfId="0" applyNumberFormat="1" applyFont="1" applyFill="1" applyAlignment="1">
      <alignment vertical="center"/>
    </xf>
    <xf numFmtId="1" fontId="5" fillId="2" borderId="0" xfId="0" applyNumberFormat="1" applyFont="1" applyFill="1" applyAlignment="1">
      <alignment horizontal="left" vertical="center"/>
    </xf>
    <xf numFmtId="1" fontId="6" fillId="2" borderId="0" xfId="0" applyNumberFormat="1" applyFont="1" applyFill="1" applyAlignment="1">
      <alignment vertical="center"/>
    </xf>
    <xf numFmtId="49" fontId="6" fillId="2" borderId="0" xfId="0" applyNumberFormat="1" applyFont="1" applyFill="1" applyAlignment="1">
      <alignment horizontal="left" vertical="center"/>
    </xf>
    <xf numFmtId="0" fontId="5" fillId="2" borderId="4" xfId="0" applyFont="1" applyFill="1" applyBorder="1" applyAlignment="1">
      <alignment vertical="center"/>
    </xf>
    <xf numFmtId="49" fontId="6" fillId="2" borderId="4" xfId="0" applyNumberFormat="1" applyFont="1" applyFill="1" applyBorder="1" applyAlignment="1">
      <alignment horizontal="left" vertical="center"/>
    </xf>
    <xf numFmtId="49" fontId="6" fillId="2" borderId="4" xfId="0" applyNumberFormat="1" applyFont="1" applyFill="1" applyBorder="1" applyAlignment="1">
      <alignment horizontal="right" vertical="center" indent="1"/>
    </xf>
    <xf numFmtId="49" fontId="6" fillId="2" borderId="5" xfId="0" applyNumberFormat="1" applyFont="1" applyFill="1" applyBorder="1" applyAlignment="1">
      <alignment horizontal="right" vertical="center" indent="1"/>
    </xf>
    <xf numFmtId="49" fontId="6" fillId="2" borderId="4" xfId="0" applyNumberFormat="1" applyFont="1" applyFill="1" applyBorder="1" applyAlignment="1">
      <alignment horizontal="left" vertical="center" indent="1"/>
    </xf>
    <xf numFmtId="49" fontId="6" fillId="2" borderId="4" xfId="0" applyNumberFormat="1" applyFont="1" applyFill="1" applyBorder="1" applyAlignment="1">
      <alignment horizontal="right" vertical="center"/>
    </xf>
    <xf numFmtId="49" fontId="5" fillId="2" borderId="0" xfId="0" applyNumberFormat="1" applyFont="1" applyFill="1" applyAlignment="1">
      <alignment horizontal="left" vertical="center"/>
    </xf>
    <xf numFmtId="49" fontId="8" fillId="2" borderId="6" xfId="0" applyNumberFormat="1" applyFont="1" applyFill="1" applyBorder="1" applyAlignment="1">
      <alignment horizontal="left" vertical="center" indent="1"/>
    </xf>
    <xf numFmtId="166" fontId="5" fillId="2" borderId="4" xfId="0" applyNumberFormat="1" applyFont="1" applyFill="1" applyBorder="1" applyAlignment="1">
      <alignment horizontal="left" vertical="center"/>
    </xf>
    <xf numFmtId="166" fontId="5" fillId="2" borderId="4" xfId="0" applyNumberFormat="1" applyFont="1" applyFill="1" applyBorder="1" applyAlignment="1">
      <alignment vertical="center"/>
    </xf>
    <xf numFmtId="0" fontId="5" fillId="2" borderId="11" xfId="0" applyFont="1" applyFill="1" applyBorder="1" applyAlignment="1">
      <alignment vertical="center"/>
    </xf>
    <xf numFmtId="166" fontId="5" fillId="2" borderId="0" xfId="0" applyNumberFormat="1" applyFont="1" applyFill="1" applyAlignment="1">
      <alignment horizontal="left" vertical="center"/>
    </xf>
    <xf numFmtId="166" fontId="5" fillId="2" borderId="11" xfId="0" applyNumberFormat="1" applyFont="1" applyFill="1" applyBorder="1" applyAlignment="1">
      <alignment vertical="center"/>
    </xf>
    <xf numFmtId="165" fontId="7" fillId="2" borderId="18" xfId="0" applyNumberFormat="1" applyFont="1" applyFill="1" applyBorder="1" applyAlignment="1">
      <alignment horizontal="left" vertical="center" indent="1"/>
    </xf>
    <xf numFmtId="0" fontId="5" fillId="2" borderId="12" xfId="0" applyFont="1" applyFill="1" applyBorder="1" applyAlignment="1">
      <alignment vertical="center"/>
    </xf>
    <xf numFmtId="49" fontId="6" fillId="2" borderId="13" xfId="0" applyNumberFormat="1" applyFont="1" applyFill="1" applyBorder="1" applyAlignment="1">
      <alignment horizontal="left" vertical="center"/>
    </xf>
    <xf numFmtId="170" fontId="6" fillId="2" borderId="12" xfId="0" applyNumberFormat="1" applyFont="1" applyFill="1" applyBorder="1" applyAlignment="1">
      <alignment vertical="center"/>
    </xf>
    <xf numFmtId="170" fontId="6" fillId="2" borderId="19" xfId="0" applyNumberFormat="1" applyFont="1" applyFill="1" applyBorder="1" applyAlignment="1">
      <alignment vertical="center"/>
    </xf>
    <xf numFmtId="49" fontId="6" fillId="2" borderId="13" xfId="0" applyNumberFormat="1" applyFont="1" applyFill="1" applyBorder="1" applyAlignment="1">
      <alignment horizontal="left" vertical="center" indent="1"/>
    </xf>
    <xf numFmtId="166" fontId="6" fillId="2" borderId="13" xfId="0" applyNumberFormat="1" applyFont="1" applyFill="1" applyBorder="1" applyAlignment="1">
      <alignment vertical="center"/>
    </xf>
    <xf numFmtId="0" fontId="5" fillId="2" borderId="3" xfId="0" applyFont="1" applyFill="1" applyBorder="1" applyAlignment="1">
      <alignment vertical="center"/>
    </xf>
    <xf numFmtId="166" fontId="5" fillId="2" borderId="3" xfId="0" applyNumberFormat="1" applyFont="1" applyFill="1" applyBorder="1" applyAlignment="1">
      <alignment vertical="center"/>
    </xf>
    <xf numFmtId="0" fontId="5" fillId="2" borderId="13" xfId="0" applyFont="1" applyFill="1" applyBorder="1" applyAlignment="1">
      <alignment vertical="center"/>
    </xf>
    <xf numFmtId="166" fontId="7" fillId="2" borderId="13" xfId="0" applyNumberFormat="1" applyFont="1" applyFill="1" applyBorder="1" applyAlignment="1">
      <alignment vertical="center"/>
    </xf>
    <xf numFmtId="1" fontId="5" fillId="2" borderId="0" xfId="0" applyNumberFormat="1" applyFont="1" applyFill="1" applyAlignment="1">
      <alignment horizontal="left" indent="1"/>
    </xf>
    <xf numFmtId="166" fontId="7" fillId="2" borderId="0" xfId="0" applyNumberFormat="1" applyFont="1" applyFill="1" applyAlignment="1">
      <alignment vertical="center"/>
    </xf>
    <xf numFmtId="0" fontId="5" fillId="2" borderId="4" xfId="0" applyFont="1" applyFill="1" applyBorder="1"/>
    <xf numFmtId="49" fontId="5" fillId="2" borderId="4" xfId="0" applyNumberFormat="1" applyFont="1" applyFill="1" applyBorder="1" applyAlignment="1">
      <alignment horizontal="right" vertical="center" wrapText="1" indent="1"/>
    </xf>
    <xf numFmtId="0" fontId="0" fillId="3" borderId="1" xfId="0" applyFill="1" applyBorder="1" applyAlignment="1">
      <alignment horizontal="left"/>
    </xf>
    <xf numFmtId="43" fontId="0" fillId="0" borderId="0" xfId="1" applyFont="1" applyAlignment="1" applyProtection="1">
      <alignment horizontal="center"/>
      <protection locked="0"/>
    </xf>
    <xf numFmtId="43" fontId="1" fillId="0" borderId="0" xfId="1" applyFont="1" applyAlignment="1" applyProtection="1">
      <alignment horizontal="center"/>
      <protection locked="0"/>
    </xf>
    <xf numFmtId="43" fontId="1" fillId="0" borderId="8" xfId="1" applyFont="1" applyBorder="1" applyAlignment="1" applyProtection="1">
      <alignment vertical="center"/>
      <protection locked="0"/>
    </xf>
    <xf numFmtId="43" fontId="1" fillId="0" borderId="15" xfId="1" applyFont="1" applyBorder="1" applyAlignment="1" applyProtection="1">
      <alignment vertical="center"/>
      <protection locked="0"/>
    </xf>
    <xf numFmtId="43" fontId="1" fillId="0" borderId="1" xfId="1" applyFont="1" applyBorder="1" applyAlignment="1" applyProtection="1">
      <alignment horizontal="center" vertical="center"/>
      <protection locked="0"/>
    </xf>
    <xf numFmtId="43" fontId="0" fillId="0" borderId="0" xfId="1" applyFont="1" applyAlignment="1" applyProtection="1">
      <alignment vertical="center"/>
      <protection locked="0"/>
    </xf>
    <xf numFmtId="0" fontId="1" fillId="0" borderId="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right" vertical="center"/>
      <protection locked="0"/>
    </xf>
    <xf numFmtId="49" fontId="5" fillId="2" borderId="0" xfId="0" applyNumberFormat="1" applyFont="1" applyFill="1" applyAlignment="1">
      <alignment horizontal="center" vertical="center"/>
    </xf>
    <xf numFmtId="1" fontId="5" fillId="2" borderId="0" xfId="0" applyNumberFormat="1" applyFont="1" applyFill="1" applyAlignment="1">
      <alignment horizontal="center" vertical="center"/>
    </xf>
    <xf numFmtId="49" fontId="14" fillId="2" borderId="0" xfId="0" applyNumberFormat="1" applyFont="1" applyFill="1" applyAlignment="1">
      <alignment vertical="center"/>
    </xf>
    <xf numFmtId="1" fontId="14" fillId="2" borderId="0" xfId="0" applyNumberFormat="1" applyFont="1" applyFill="1" applyAlignment="1">
      <alignment vertical="center"/>
    </xf>
    <xf numFmtId="49" fontId="5" fillId="2" borderId="0" xfId="0" applyNumberFormat="1" applyFont="1" applyFill="1" applyAlignment="1">
      <alignment horizontal="left" vertical="center"/>
    </xf>
    <xf numFmtId="1" fontId="5" fillId="2" borderId="0" xfId="0" applyNumberFormat="1" applyFont="1" applyFill="1" applyAlignment="1">
      <alignment horizontal="left" vertical="center"/>
    </xf>
    <xf numFmtId="49" fontId="5" fillId="2" borderId="3" xfId="0" applyNumberFormat="1" applyFont="1" applyFill="1" applyBorder="1" applyAlignment="1">
      <alignment horizontal="left" vertical="center"/>
    </xf>
    <xf numFmtId="1" fontId="5" fillId="2" borderId="3" xfId="0" applyNumberFormat="1" applyFont="1" applyFill="1" applyBorder="1" applyAlignment="1">
      <alignment horizontal="left" vertical="center"/>
    </xf>
    <xf numFmtId="0" fontId="4" fillId="2" borderId="0" xfId="0" applyFont="1" applyFill="1" applyAlignment="1">
      <alignment horizontal="right"/>
    </xf>
    <xf numFmtId="0" fontId="5" fillId="2" borderId="0" xfId="0" applyFont="1" applyFill="1" applyAlignment="1">
      <alignment horizontal="right"/>
    </xf>
    <xf numFmtId="0" fontId="7" fillId="2" borderId="4" xfId="0" applyFont="1" applyFill="1" applyBorder="1" applyAlignment="1">
      <alignment horizontal="left" vertical="center" wrapText="1"/>
    </xf>
    <xf numFmtId="49" fontId="5" fillId="2" borderId="13" xfId="0" applyNumberFormat="1" applyFont="1" applyFill="1" applyBorder="1" applyAlignment="1">
      <alignment horizontal="left" vertical="center"/>
    </xf>
    <xf numFmtId="1" fontId="5" fillId="2" borderId="13" xfId="0" applyNumberFormat="1" applyFont="1" applyFill="1" applyBorder="1" applyAlignment="1">
      <alignment horizontal="left" vertical="center"/>
    </xf>
    <xf numFmtId="171" fontId="11" fillId="2" borderId="0" xfId="0" applyNumberFormat="1" applyFont="1" applyFill="1" applyAlignment="1">
      <alignment horizontal="center" vertical="center"/>
    </xf>
  </cellXfs>
  <cellStyles count="4">
    <cellStyle name="Comma" xfId="1" builtinId="3"/>
    <cellStyle name="Comma [0]" xfId="2" builtinId="6"/>
    <cellStyle name="Normal" xfId="0" builtinId="0"/>
    <cellStyle name="Percent" xfId="3" builtinId="5"/>
  </cellStyles>
  <dxfs count="20">
    <dxf>
      <numFmt numFmtId="167" formatCode="_(* #,##0_);_(* \(#,##0\);_(* &quot;-&quot;??_);_(@_)"/>
      <fill>
        <patternFill patternType="solid">
          <fgColor indexed="64"/>
          <bgColor theme="3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_(* #,##0_);_(* \(#,##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_(* #,##0_);_(* \(#,##0\);_(* &quot;-&quot;??_);_(@_)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3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3</xdr:row>
      <xdr:rowOff>6350</xdr:rowOff>
    </xdr:from>
    <xdr:to>
      <xdr:col>2</xdr:col>
      <xdr:colOff>1497328</xdr:colOff>
      <xdr:row>6</xdr:row>
      <xdr:rowOff>123826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BC5BF1-E6E5-4545-87D4-9AC2906C08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" y="539750"/>
          <a:ext cx="1379853" cy="679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403D36-EBDC-48C7-A308-5FAD3921F067}" name="Table1" displayName="Table1" ref="A6:S17" totalsRowShown="0" tableBorderDxfId="19">
  <autoFilter ref="A6:S17" xr:uid="{A4403D36-EBDC-48C7-A308-5FAD3921F067}"/>
  <tableColumns count="19">
    <tableColumn id="1" xr3:uid="{2BD871C3-1CA3-4BF8-BFA2-310F44F7039C}" name="EMPLOYEE NO." dataDxfId="18"/>
    <tableColumn id="2" xr3:uid="{94C3F7C6-1A5F-427C-928F-FBE854DCDB4C}" name="STAFF ID" dataDxfId="17"/>
    <tableColumn id="3" xr3:uid="{30863D90-0683-4A68-8785-F6D1FDBCDB02}" name="EMPLOYEE NAME" dataDxfId="16"/>
    <tableColumn id="4" xr3:uid="{F4123B9A-AD31-4606-918F-081BF68A7613}" name="DESIGNATION" dataDxfId="15"/>
    <tableColumn id="5" xr3:uid="{57C6A535-6EB0-46F7-A7D4-C2DED24434F7}" name="TIN NO." dataDxfId="14"/>
    <tableColumn id="6" xr3:uid="{A756C14F-F429-41BE-8027-7F9F589EF5D4}" name="NSSF" dataDxfId="13"/>
    <tableColumn id="7" xr3:uid="{C08BE240-58F2-4CA1-8C2F-8F92089A0F9A}" name="Bank Account No" dataDxfId="12"/>
    <tableColumn id="8" xr3:uid="{7288A1EC-0C7D-43A4-A1DD-C6D4F9524DEE}" name="Bank Name" dataDxfId="11"/>
    <tableColumn id="9" xr3:uid="{26A98C05-3530-40EA-8702-8562983EB8AF}" name="Basic Pay" dataDxfId="10" dataCellStyle="Comma"/>
    <tableColumn id="10" xr3:uid="{7799891D-7F21-419E-B302-68D039666222}" name="Commisions " dataDxfId="9"/>
    <tableColumn id="11" xr3:uid="{DDD0E399-4F99-4422-9D19-580B7C7B2A7E}" name="Other Earnings" dataDxfId="8" dataCellStyle="Comma">
      <calculatedColumnFormula>Table1[[#This Row],[Basic Pay]]*20%</calculatedColumnFormula>
    </tableColumn>
    <tableColumn id="12" xr3:uid="{0E02C923-A29A-44F8-87C7-8295D78EBFB8}" name="LCY" dataDxfId="7" dataCellStyle="Comma">
      <calculatedColumnFormula>SUM(I7:K7)</calculatedColumnFormula>
    </tableColumn>
    <tableColumn id="13" xr3:uid="{62FF8F82-FC3B-48AC-B393-5F3942D3DEB9}" name="USD" dataDxfId="6" dataCellStyle="Comma">
      <calculatedColumnFormula>L7/3700</calculatedColumnFormula>
    </tableColumn>
    <tableColumn id="14" xr3:uid="{6B8FBDF1-2306-428D-91A3-C77007988374}" name="PAYEE" dataDxfId="5" dataCellStyle="Comma">
      <calculatedColumnFormula>IF(L7&lt;235000,"Nil",IF(L7&lt;335000,10%*(L7-235000),IF(L7&lt;410000,10000+(20%*(L7-335000)),IF(L7&lt;10000000,25000+30%*(L7-410000),"25000+30%*(G6-410000)+ (10%*(G6-10000000)"))))</calculatedColumnFormula>
    </tableColumn>
    <tableColumn id="15" xr3:uid="{AE2711CE-934C-49CE-A280-4B88707B1F4D}" name="NSSF2" dataDxfId="4" dataCellStyle="Comma">
      <calculatedColumnFormula>L7*$O$5</calculatedColumnFormula>
    </tableColumn>
    <tableColumn id="17" xr3:uid="{F2E9B219-923A-47E4-B9D2-54AEEEC203EA}" name="NET PAY" dataDxfId="3">
      <calculatedColumnFormula>L7-(SUM(N7:O7))</calculatedColumnFormula>
    </tableColumn>
    <tableColumn id="18" xr3:uid="{98BCA943-0B83-42D4-A31D-1C9B2B436772}" name="NSSF4" dataDxfId="2">
      <calculatedColumnFormula>L7*$Q$5</calculatedColumnFormula>
    </tableColumn>
    <tableColumn id="19" xr3:uid="{84002BC6-05F0-4715-A75C-BC64EC10E4EF}" name="Column5" dataDxfId="1" dataCellStyle="Comma"/>
    <tableColumn id="20" xr3:uid="{216AF9FC-ACCE-4299-9AB8-720DF99EDA5F}" name="LCY6" dataDxfId="0">
      <calculatedColumnFormula>P7-R7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179A1-FD4C-4DAA-AAF4-02889DEB862E}">
  <sheetPr codeName="Sheet1">
    <pageSetUpPr fitToPage="1"/>
  </sheetPr>
  <dimension ref="A1:AM30"/>
  <sheetViews>
    <sheetView tabSelected="1" topLeftCell="A4" zoomScaleNormal="100" workbookViewId="0">
      <pane xSplit="3" ySplit="3" topLeftCell="L7" activePane="bottomRight" state="frozen"/>
      <selection activeCell="A4" sqref="A4"/>
      <selection pane="topRight" activeCell="D4" sqref="D4"/>
      <selection pane="bottomLeft" activeCell="A7" sqref="A7"/>
      <selection pane="bottomRight" activeCell="E5" sqref="E5"/>
    </sheetView>
  </sheetViews>
  <sheetFormatPr defaultRowHeight="15" customHeight="1" x14ac:dyDescent="0.35"/>
  <cols>
    <col min="1" max="1" width="17.7265625" style="38" bestFit="1" customWidth="1"/>
    <col min="2" max="2" width="10.453125" style="38" customWidth="1"/>
    <col min="3" max="3" width="24.453125" style="38" customWidth="1"/>
    <col min="4" max="4" width="27.6328125" style="38" bestFit="1" customWidth="1"/>
    <col min="5" max="5" width="13.81640625" style="38" customWidth="1"/>
    <col min="6" max="6" width="15.08984375" style="38" bestFit="1" customWidth="1"/>
    <col min="7" max="7" width="17.26953125" style="38" bestFit="1" customWidth="1"/>
    <col min="8" max="8" width="13.6328125" style="38" bestFit="1" customWidth="1"/>
    <col min="9" max="9" width="12.7265625" style="38" bestFit="1" customWidth="1"/>
    <col min="10" max="10" width="13.81640625" style="38" customWidth="1"/>
    <col min="11" max="11" width="15.36328125" style="67" bestFit="1" customWidth="1"/>
    <col min="12" max="12" width="15.26953125" style="19" customWidth="1"/>
    <col min="13" max="13" width="9.6328125" style="19" bestFit="1" customWidth="1"/>
    <col min="14" max="14" width="13.81640625" customWidth="1"/>
    <col min="15" max="15" width="12.7265625" customWidth="1"/>
    <col min="16" max="16" width="13.81640625" bestFit="1" customWidth="1"/>
    <col min="17" max="17" width="15.26953125" customWidth="1"/>
    <col min="18" max="18" width="12.7265625" style="31" bestFit="1" customWidth="1"/>
    <col min="19" max="19" width="17.1796875" bestFit="1" customWidth="1"/>
    <col min="20" max="20" width="11.08984375" customWidth="1"/>
    <col min="21" max="21" width="12.54296875" hidden="1" customWidth="1"/>
    <col min="22" max="22" width="15.81640625" hidden="1" customWidth="1"/>
    <col min="23" max="23" width="8.7265625" hidden="1" customWidth="1"/>
    <col min="24" max="24" width="10.81640625" hidden="1" customWidth="1"/>
    <col min="25" max="25" width="13.81640625" hidden="1" customWidth="1"/>
    <col min="26" max="26" width="18.54296875" hidden="1" customWidth="1"/>
    <col min="27" max="27" width="12.81640625" hidden="1" customWidth="1"/>
    <col min="28" max="28" width="9.81640625" hidden="1" customWidth="1"/>
    <col min="29" max="39" width="8.7265625" hidden="1" customWidth="1"/>
  </cols>
  <sheetData>
    <row r="1" spans="1:39" ht="14.5" x14ac:dyDescent="0.35">
      <c r="C1" s="39"/>
      <c r="D1" s="40"/>
      <c r="E1" s="40"/>
      <c r="F1" s="40"/>
      <c r="G1" s="40"/>
      <c r="H1" s="40"/>
      <c r="I1" s="40"/>
      <c r="J1" s="40"/>
      <c r="K1" s="153"/>
      <c r="L1" s="3"/>
      <c r="M1" s="3"/>
      <c r="N1" s="1"/>
      <c r="O1" s="1"/>
      <c r="P1" s="1"/>
      <c r="Q1" s="1"/>
    </row>
    <row r="2" spans="1:39" ht="14.5" x14ac:dyDescent="0.35">
      <c r="B2" s="104" t="s">
        <v>85</v>
      </c>
      <c r="C2" s="40"/>
      <c r="D2" s="103"/>
      <c r="E2" s="103"/>
      <c r="F2" s="103"/>
      <c r="G2" s="103"/>
      <c r="H2" s="103"/>
      <c r="I2" s="103"/>
      <c r="J2" s="41"/>
      <c r="K2" s="154"/>
      <c r="L2" s="3"/>
      <c r="M2" s="3"/>
      <c r="N2" s="1"/>
      <c r="O2" s="1"/>
      <c r="P2" s="1"/>
      <c r="Q2" s="1"/>
    </row>
    <row r="3" spans="1:39" ht="14.5" x14ac:dyDescent="0.35">
      <c r="B3" s="104" t="s">
        <v>86</v>
      </c>
      <c r="C3" s="40"/>
      <c r="D3" s="105"/>
      <c r="E3" s="105"/>
      <c r="F3" s="105"/>
      <c r="G3" s="105"/>
      <c r="H3" s="105"/>
      <c r="I3" s="103"/>
      <c r="J3" s="41"/>
      <c r="K3" s="154"/>
      <c r="L3" s="3"/>
      <c r="M3" s="3"/>
      <c r="N3" s="1"/>
      <c r="O3" s="1"/>
      <c r="P3" s="1"/>
      <c r="Q3" s="1"/>
    </row>
    <row r="4" spans="1:39" s="2" customFormat="1" ht="43.5" x14ac:dyDescent="0.35">
      <c r="A4" s="162" t="s">
        <v>0</v>
      </c>
      <c r="B4" s="162"/>
      <c r="C4" s="107">
        <v>46023</v>
      </c>
      <c r="D4" s="42" t="s">
        <v>1</v>
      </c>
      <c r="E4" s="106">
        <v>46056</v>
      </c>
      <c r="F4" s="43"/>
      <c r="G4" s="43"/>
      <c r="H4" s="43"/>
      <c r="I4" s="44"/>
      <c r="J4" s="45"/>
      <c r="K4" s="155"/>
      <c r="L4" s="4" t="s">
        <v>2</v>
      </c>
      <c r="M4" s="5"/>
      <c r="N4" s="159" t="s">
        <v>3</v>
      </c>
      <c r="O4" s="160"/>
      <c r="P4" s="26" t="s">
        <v>4</v>
      </c>
      <c r="Q4" s="27" t="s">
        <v>5</v>
      </c>
      <c r="R4" s="32" t="s">
        <v>6</v>
      </c>
      <c r="S4" s="13" t="s">
        <v>7</v>
      </c>
      <c r="T4" s="28"/>
    </row>
    <row r="5" spans="1:39" ht="14.5" x14ac:dyDescent="0.35">
      <c r="A5" s="46"/>
      <c r="B5" s="46"/>
      <c r="C5" s="44"/>
      <c r="D5" s="44"/>
      <c r="E5" s="44"/>
      <c r="F5" s="44"/>
      <c r="G5" s="44"/>
      <c r="H5" s="44"/>
      <c r="I5" s="44"/>
      <c r="J5" s="45"/>
      <c r="K5" s="155"/>
      <c r="L5" s="9"/>
      <c r="M5" s="10"/>
      <c r="N5" s="8"/>
      <c r="O5" s="11">
        <v>0.05</v>
      </c>
      <c r="P5" s="6"/>
      <c r="Q5" s="12">
        <v>0.1</v>
      </c>
      <c r="R5" s="33"/>
      <c r="S5" s="7"/>
      <c r="T5" s="7"/>
    </row>
    <row r="6" spans="1:39" ht="14.5" x14ac:dyDescent="0.35">
      <c r="A6" s="47" t="s">
        <v>8</v>
      </c>
      <c r="B6" s="48" t="s">
        <v>9</v>
      </c>
      <c r="C6" s="49" t="s">
        <v>10</v>
      </c>
      <c r="D6" s="49" t="s">
        <v>11</v>
      </c>
      <c r="E6" s="49" t="s">
        <v>12</v>
      </c>
      <c r="F6" s="49" t="s">
        <v>13</v>
      </c>
      <c r="G6" s="49" t="s">
        <v>14</v>
      </c>
      <c r="H6" s="49" t="s">
        <v>15</v>
      </c>
      <c r="I6" s="49" t="s">
        <v>16</v>
      </c>
      <c r="J6" s="50" t="s">
        <v>17</v>
      </c>
      <c r="K6" s="156" t="s">
        <v>18</v>
      </c>
      <c r="L6" s="85" t="s">
        <v>19</v>
      </c>
      <c r="M6" s="85" t="s">
        <v>20</v>
      </c>
      <c r="N6" s="86" t="s">
        <v>21</v>
      </c>
      <c r="O6" s="86" t="s">
        <v>22</v>
      </c>
      <c r="P6" s="87" t="s">
        <v>4</v>
      </c>
      <c r="Q6" s="86" t="s">
        <v>23</v>
      </c>
      <c r="R6" s="34" t="s">
        <v>24</v>
      </c>
      <c r="S6" s="23" t="s">
        <v>25</v>
      </c>
      <c r="T6" s="152" t="s">
        <v>20</v>
      </c>
      <c r="U6" t="str">
        <f>Table1[[#Headers],[STAFF ID]]</f>
        <v>STAFF ID</v>
      </c>
      <c r="V6" t="str">
        <f>Table1[[#Headers],[EMPLOYEE NAME]]</f>
        <v>EMPLOYEE NAME</v>
      </c>
      <c r="W6" t="str">
        <f>Table1[[#Headers],[DESIGNATION]]</f>
        <v>DESIGNATION</v>
      </c>
      <c r="X6" t="str">
        <f>Table1[[#Headers],[TIN NO.]]</f>
        <v>TIN NO.</v>
      </c>
      <c r="Y6" t="str">
        <f>Table1[[#Headers],[NSSF]]</f>
        <v>NSSF</v>
      </c>
      <c r="Z6" t="str">
        <f>Table1[[#Headers],[Bank Account No]]</f>
        <v>Bank Account No</v>
      </c>
      <c r="AA6" t="str">
        <f>Table1[[#Headers],[Bank Name]]</f>
        <v>Bank Name</v>
      </c>
      <c r="AB6" t="str">
        <f>Table1[[#Headers],[Basic Pay]]</f>
        <v>Basic Pay</v>
      </c>
      <c r="AC6" t="str">
        <f>Table1[[#Headers],[Commisions ]]</f>
        <v xml:space="preserve">Commisions </v>
      </c>
      <c r="AD6" t="str">
        <f>Table1[[#Headers],[Other Earnings]]</f>
        <v>Other Earnings</v>
      </c>
      <c r="AE6" t="str">
        <f>Table1[[#Headers],[LCY]]</f>
        <v>LCY</v>
      </c>
      <c r="AF6" t="str">
        <f>Table1[[#Headers],[USD]]</f>
        <v>USD</v>
      </c>
      <c r="AG6" t="str">
        <f>Table1[[#Headers],[PAYEE]]</f>
        <v>PAYEE</v>
      </c>
      <c r="AH6" t="str">
        <f>Table1[[#Headers],[NSSF2]]</f>
        <v>NSSF2</v>
      </c>
      <c r="AI6" t="str">
        <f>Table1[[#Headers],[NET PAY]]</f>
        <v>NET PAY</v>
      </c>
      <c r="AJ6" t="str">
        <f>Table1[[#Headers],[NSSF4]]</f>
        <v>NSSF4</v>
      </c>
      <c r="AK6" t="str">
        <f>Table1[[#Headers],[Column5]]</f>
        <v>Column5</v>
      </c>
      <c r="AL6" t="str">
        <f>Table1[[#Headers],[LCY6]]</f>
        <v>LCY6</v>
      </c>
      <c r="AM6" t="str">
        <f>T6</f>
        <v>USD</v>
      </c>
    </row>
    <row r="7" spans="1:39" ht="15.5" x14ac:dyDescent="0.35">
      <c r="A7" s="51">
        <v>1</v>
      </c>
      <c r="B7" s="46" t="s">
        <v>26</v>
      </c>
      <c r="C7" s="52" t="s">
        <v>27</v>
      </c>
      <c r="D7" s="53" t="s">
        <v>87</v>
      </c>
      <c r="E7" s="46">
        <v>1013867104</v>
      </c>
      <c r="F7" s="54">
        <v>8804201096294</v>
      </c>
      <c r="G7" s="55">
        <v>95010100019969</v>
      </c>
      <c r="H7" s="52" t="s">
        <v>28</v>
      </c>
      <c r="I7" s="56">
        <v>4506276.5999999996</v>
      </c>
      <c r="J7" s="52"/>
      <c r="K7" s="56"/>
      <c r="L7" s="88">
        <f t="shared" ref="L7:L15" si="0">SUM(I7:K7)</f>
        <v>4506276.5999999996</v>
      </c>
      <c r="M7" s="89">
        <f t="shared" ref="M7:M18" si="1">L7/3700</f>
        <v>1217.9125945945946</v>
      </c>
      <c r="N7" s="90">
        <f t="shared" ref="N7:N16" si="2">IF(L7&lt;235000,"Nil",IF(L7&lt;335000,10%*(L7-235000),IF(L7&lt;410000,10000+(20%*(L7-335000)),IF(L7&lt;10000000,25000+30%*(L7-410000),"25000+30%*(G6-410000)+ (10%*(G6-10000000)"))))</f>
        <v>1253882.9799999997</v>
      </c>
      <c r="O7" s="91">
        <f t="shared" ref="O7:O16" si="3">L7*$O$5</f>
        <v>225313.83</v>
      </c>
      <c r="P7" s="30">
        <f t="shared" ref="P7:P16" si="4">L7-(SUM(N7:O7))</f>
        <v>3027079.79</v>
      </c>
      <c r="Q7" s="92">
        <f t="shared" ref="Q7:Q16" si="5">L7*$Q$5</f>
        <v>450627.66</v>
      </c>
      <c r="R7" s="35">
        <v>0</v>
      </c>
      <c r="S7" s="22">
        <f t="shared" ref="S7:S15" si="6">P7-R7</f>
        <v>3027079.79</v>
      </c>
      <c r="T7" s="15">
        <f t="shared" ref="T7:T16" si="7">S7/3700</f>
        <v>818.12967297297303</v>
      </c>
      <c r="U7" s="16" t="str">
        <f>Payslip!D12</f>
        <v>VUEMP011</v>
      </c>
      <c r="V7" t="str">
        <f>VLOOKUP(U7,B7:T21,2,)</f>
        <v>Kawunde Paul</v>
      </c>
      <c r="W7" t="str">
        <f>VLOOKUP(U7,B7:T21,3,)</f>
        <v>Business Development Executive</v>
      </c>
      <c r="X7" s="25">
        <f>VLOOKUP(U7,B7:T21,4)</f>
        <v>1019028053</v>
      </c>
      <c r="Y7" s="25">
        <f>VLOOKUP(U7,B7:T21,5)</f>
        <v>9418702271143</v>
      </c>
      <c r="Z7" s="25">
        <f>VLOOKUP(U7,B7:T21,6)</f>
        <v>95140100002021</v>
      </c>
      <c r="AA7" t="str">
        <f>VLOOKUP(U7,B7:T21,7)</f>
        <v>Bank of Baroda</v>
      </c>
      <c r="AB7">
        <f>VLOOKUP(U7,B7:T21,8)</f>
        <v>4476754.9000000004</v>
      </c>
      <c r="AC7">
        <f>VLOOKUP(U7,B7:T21,9)</f>
        <v>0</v>
      </c>
      <c r="AD7">
        <f>VLOOKUP(U7,B7:T21,10)</f>
        <v>0</v>
      </c>
      <c r="AE7">
        <f>VLOOKUP(U7,B7:T21,11)</f>
        <v>4476754.9000000004</v>
      </c>
      <c r="AF7">
        <f>VLOOKUP(U7,B7:T21,12)</f>
        <v>1209.9337567567568</v>
      </c>
      <c r="AG7">
        <f>VLOOKUP(U7,B7:T21,13)</f>
        <v>1245026.47</v>
      </c>
      <c r="AH7">
        <f>VLOOKUP(U7,B7:T21,14)</f>
        <v>223837.74500000002</v>
      </c>
      <c r="AI7">
        <f>VLOOKUP(U7,B7:T21,15)</f>
        <v>3007890.6850000005</v>
      </c>
      <c r="AJ7">
        <f>VLOOKUP(U7,B7:T21,16)</f>
        <v>447675.49000000005</v>
      </c>
      <c r="AK7">
        <f>VLOOKUP(U7,B7:T21,17)</f>
        <v>950000</v>
      </c>
      <c r="AL7">
        <f>VLOOKUP(U7,B7:T21,18)</f>
        <v>2057890.6850000005</v>
      </c>
      <c r="AM7">
        <f>VLOOKUP(U7,B7:T21,19)</f>
        <v>556.18667162162171</v>
      </c>
    </row>
    <row r="8" spans="1:39" ht="15.5" x14ac:dyDescent="0.35">
      <c r="A8" s="51">
        <v>2</v>
      </c>
      <c r="B8" s="46" t="s">
        <v>29</v>
      </c>
      <c r="C8" s="52" t="s">
        <v>30</v>
      </c>
      <c r="D8" s="52" t="s">
        <v>31</v>
      </c>
      <c r="E8" s="46">
        <v>1011124524</v>
      </c>
      <c r="F8" s="54">
        <v>7713800012485</v>
      </c>
      <c r="G8" s="55">
        <v>95010100019969</v>
      </c>
      <c r="H8" s="52" t="s">
        <v>28</v>
      </c>
      <c r="I8" s="56">
        <v>3321661</v>
      </c>
      <c r="J8" s="52"/>
      <c r="K8" s="56"/>
      <c r="L8" s="88">
        <f t="shared" si="0"/>
        <v>3321661</v>
      </c>
      <c r="M8" s="89">
        <f t="shared" si="1"/>
        <v>897.74621621621623</v>
      </c>
      <c r="N8" s="90">
        <f t="shared" si="2"/>
        <v>898498.29999999993</v>
      </c>
      <c r="O8" s="91">
        <f t="shared" si="3"/>
        <v>166083.05000000002</v>
      </c>
      <c r="P8" s="30">
        <f t="shared" si="4"/>
        <v>2257079.6500000004</v>
      </c>
      <c r="Q8" s="92">
        <f t="shared" si="5"/>
        <v>332166.10000000003</v>
      </c>
      <c r="R8" s="35">
        <v>0</v>
      </c>
      <c r="S8" s="22">
        <f t="shared" si="6"/>
        <v>2257079.6500000004</v>
      </c>
      <c r="T8" s="15">
        <f t="shared" si="7"/>
        <v>610.0215270270271</v>
      </c>
    </row>
    <row r="9" spans="1:39" ht="15.5" x14ac:dyDescent="0.35">
      <c r="A9" s="51">
        <v>3</v>
      </c>
      <c r="B9" s="46" t="s">
        <v>32</v>
      </c>
      <c r="C9" s="52" t="s">
        <v>33</v>
      </c>
      <c r="D9" s="52" t="s">
        <v>34</v>
      </c>
      <c r="E9" s="46">
        <v>1011362350</v>
      </c>
      <c r="F9" s="54">
        <v>7714200249854</v>
      </c>
      <c r="G9" s="55">
        <v>95140100002364</v>
      </c>
      <c r="H9" s="52" t="s">
        <v>28</v>
      </c>
      <c r="I9" s="56">
        <v>1425600</v>
      </c>
      <c r="J9" s="52"/>
      <c r="K9" s="56"/>
      <c r="L9" s="88">
        <f t="shared" si="0"/>
        <v>1425600</v>
      </c>
      <c r="M9" s="89">
        <f t="shared" si="1"/>
        <v>385.29729729729729</v>
      </c>
      <c r="N9" s="90">
        <f t="shared" si="2"/>
        <v>329680</v>
      </c>
      <c r="O9" s="91">
        <f t="shared" si="3"/>
        <v>71280</v>
      </c>
      <c r="P9" s="30">
        <f t="shared" si="4"/>
        <v>1024640</v>
      </c>
      <c r="Q9" s="92">
        <f t="shared" si="5"/>
        <v>142560</v>
      </c>
      <c r="R9" s="35">
        <v>0</v>
      </c>
      <c r="S9" s="22">
        <f t="shared" si="6"/>
        <v>1024640</v>
      </c>
      <c r="T9" s="15">
        <f t="shared" si="7"/>
        <v>276.92972972972973</v>
      </c>
    </row>
    <row r="10" spans="1:39" ht="15.5" x14ac:dyDescent="0.35">
      <c r="A10" s="51">
        <v>4</v>
      </c>
      <c r="B10" s="46" t="s">
        <v>35</v>
      </c>
      <c r="C10" s="52" t="s">
        <v>36</v>
      </c>
      <c r="D10" s="52" t="s">
        <v>37</v>
      </c>
      <c r="E10" s="46">
        <v>1019037946</v>
      </c>
      <c r="F10" s="54">
        <v>9100301275708</v>
      </c>
      <c r="G10" s="55">
        <v>95140100002019</v>
      </c>
      <c r="H10" s="52" t="s">
        <v>28</v>
      </c>
      <c r="I10" s="56">
        <v>1730215.2</v>
      </c>
      <c r="J10" s="52"/>
      <c r="K10" s="56"/>
      <c r="L10" s="88">
        <f t="shared" si="0"/>
        <v>1730215.2</v>
      </c>
      <c r="M10" s="89">
        <f t="shared" si="1"/>
        <v>467.6257297297297</v>
      </c>
      <c r="N10" s="90">
        <f t="shared" si="2"/>
        <v>421064.56</v>
      </c>
      <c r="O10" s="91">
        <f t="shared" si="3"/>
        <v>86510.760000000009</v>
      </c>
      <c r="P10" s="30">
        <f t="shared" si="4"/>
        <v>1222639.8799999999</v>
      </c>
      <c r="Q10" s="92">
        <f t="shared" si="5"/>
        <v>173021.52000000002</v>
      </c>
      <c r="R10" s="35">
        <v>0</v>
      </c>
      <c r="S10" s="22">
        <f t="shared" si="6"/>
        <v>1222639.8799999999</v>
      </c>
      <c r="T10" s="15">
        <f t="shared" si="7"/>
        <v>330.4432108108108</v>
      </c>
    </row>
    <row r="11" spans="1:39" ht="14.5" x14ac:dyDescent="0.35">
      <c r="A11" s="51">
        <v>5</v>
      </c>
      <c r="B11" s="46" t="s">
        <v>38</v>
      </c>
      <c r="C11" s="52" t="s">
        <v>39</v>
      </c>
      <c r="D11" s="52" t="s">
        <v>40</v>
      </c>
      <c r="E11" s="46">
        <v>1018279351</v>
      </c>
      <c r="F11" s="57">
        <v>8418704097550</v>
      </c>
      <c r="G11" s="57">
        <v>95140100002412</v>
      </c>
      <c r="H11" s="52" t="s">
        <v>28</v>
      </c>
      <c r="I11" s="56">
        <v>6930000</v>
      </c>
      <c r="J11" s="52"/>
      <c r="K11" s="56"/>
      <c r="L11" s="88">
        <f>SUM(I11:K11)</f>
        <v>6930000</v>
      </c>
      <c r="M11" s="89">
        <f>L11/3700</f>
        <v>1872.9729729729729</v>
      </c>
      <c r="N11" s="90">
        <f t="shared" si="2"/>
        <v>1981000</v>
      </c>
      <c r="O11" s="91">
        <f t="shared" si="3"/>
        <v>346500</v>
      </c>
      <c r="P11" s="30">
        <f t="shared" si="4"/>
        <v>4602500</v>
      </c>
      <c r="Q11" s="92">
        <f t="shared" si="5"/>
        <v>693000</v>
      </c>
      <c r="R11" s="35">
        <v>0</v>
      </c>
      <c r="S11" s="22">
        <f>P11-R11</f>
        <v>4602500</v>
      </c>
      <c r="T11" s="15">
        <f>S11/3700</f>
        <v>1243.918918918919</v>
      </c>
      <c r="U11" s="16"/>
    </row>
    <row r="12" spans="1:39" ht="15.5" x14ac:dyDescent="0.35">
      <c r="A12" s="51">
        <v>6</v>
      </c>
      <c r="B12" s="46" t="s">
        <v>41</v>
      </c>
      <c r="C12" s="52" t="s">
        <v>42</v>
      </c>
      <c r="D12" s="52" t="s">
        <v>43</v>
      </c>
      <c r="E12" s="46">
        <v>1019037977</v>
      </c>
      <c r="F12" s="54">
        <v>9608703332650</v>
      </c>
      <c r="G12" s="55">
        <v>95140100003238</v>
      </c>
      <c r="H12" s="52" t="s">
        <v>28</v>
      </c>
      <c r="I12" s="56">
        <v>572000</v>
      </c>
      <c r="J12" s="52"/>
      <c r="K12" s="56"/>
      <c r="L12" s="88">
        <f>SUM(I12:K12)</f>
        <v>572000</v>
      </c>
      <c r="M12" s="89">
        <f t="shared" si="1"/>
        <v>154.59459459459458</v>
      </c>
      <c r="N12" s="90">
        <f t="shared" si="2"/>
        <v>73600</v>
      </c>
      <c r="O12" s="91">
        <f t="shared" si="3"/>
        <v>28600</v>
      </c>
      <c r="P12" s="30">
        <f t="shared" si="4"/>
        <v>469800</v>
      </c>
      <c r="Q12" s="92">
        <f t="shared" si="5"/>
        <v>57200</v>
      </c>
      <c r="R12" s="35">
        <v>0</v>
      </c>
      <c r="S12" s="22">
        <f>P12-R12</f>
        <v>469800</v>
      </c>
      <c r="T12" s="15">
        <f>S12/3700</f>
        <v>126.97297297297297</v>
      </c>
    </row>
    <row r="13" spans="1:39" ht="15.5" x14ac:dyDescent="0.35">
      <c r="A13" s="51">
        <v>7</v>
      </c>
      <c r="B13" s="46" t="s">
        <v>44</v>
      </c>
      <c r="C13" s="52" t="s">
        <v>45</v>
      </c>
      <c r="D13" s="52" t="s">
        <v>46</v>
      </c>
      <c r="E13" s="46">
        <v>1019028053</v>
      </c>
      <c r="F13" s="54">
        <v>9418702271143</v>
      </c>
      <c r="G13" s="55">
        <v>95140100002021</v>
      </c>
      <c r="H13" s="52" t="s">
        <v>28</v>
      </c>
      <c r="I13" s="56">
        <v>4476754.9000000004</v>
      </c>
      <c r="J13" s="52"/>
      <c r="K13" s="56"/>
      <c r="L13" s="88">
        <f t="shared" si="0"/>
        <v>4476754.9000000004</v>
      </c>
      <c r="M13" s="89">
        <f t="shared" si="1"/>
        <v>1209.9337567567568</v>
      </c>
      <c r="N13" s="93">
        <f t="shared" si="2"/>
        <v>1245026.47</v>
      </c>
      <c r="O13" s="94">
        <f t="shared" si="3"/>
        <v>223837.74500000002</v>
      </c>
      <c r="P13" s="30">
        <f t="shared" si="4"/>
        <v>3007890.6850000005</v>
      </c>
      <c r="Q13" s="92">
        <f t="shared" si="5"/>
        <v>447675.49000000005</v>
      </c>
      <c r="R13" s="36">
        <v>950000</v>
      </c>
      <c r="S13" s="22">
        <f t="shared" si="6"/>
        <v>2057890.6850000005</v>
      </c>
      <c r="T13" s="15">
        <f t="shared" si="7"/>
        <v>556.18667162162171</v>
      </c>
    </row>
    <row r="14" spans="1:39" ht="15.5" x14ac:dyDescent="0.35">
      <c r="A14" s="51">
        <v>8</v>
      </c>
      <c r="B14" s="46" t="s">
        <v>47</v>
      </c>
      <c r="C14" s="52" t="s">
        <v>48</v>
      </c>
      <c r="D14" s="52" t="s">
        <v>46</v>
      </c>
      <c r="E14" s="46">
        <v>1008938503</v>
      </c>
      <c r="F14" s="54">
        <v>8710200077782</v>
      </c>
      <c r="G14" s="55">
        <v>95140100003237</v>
      </c>
      <c r="H14" s="52" t="s">
        <v>28</v>
      </c>
      <c r="I14" s="56">
        <v>2004000.7</v>
      </c>
      <c r="J14" s="52"/>
      <c r="K14" s="56"/>
      <c r="L14" s="88">
        <f t="shared" si="0"/>
        <v>2004000.7</v>
      </c>
      <c r="M14" s="89">
        <f t="shared" si="1"/>
        <v>541.62181081081076</v>
      </c>
      <c r="N14" s="90">
        <f t="shared" si="2"/>
        <v>503200.20999999996</v>
      </c>
      <c r="O14" s="91">
        <f t="shared" si="3"/>
        <v>100200.035</v>
      </c>
      <c r="P14" s="30">
        <f t="shared" si="4"/>
        <v>1400600.4550000001</v>
      </c>
      <c r="Q14" s="92">
        <f t="shared" si="5"/>
        <v>200400.07</v>
      </c>
      <c r="R14" s="35">
        <v>0</v>
      </c>
      <c r="S14" s="22">
        <f t="shared" si="6"/>
        <v>1400600.4550000001</v>
      </c>
      <c r="T14" s="15">
        <f t="shared" si="7"/>
        <v>378.54066351351355</v>
      </c>
    </row>
    <row r="15" spans="1:39" ht="15.5" x14ac:dyDescent="0.35">
      <c r="A15" s="58">
        <v>9</v>
      </c>
      <c r="B15" s="59" t="s">
        <v>49</v>
      </c>
      <c r="C15" s="60" t="s">
        <v>50</v>
      </c>
      <c r="D15" s="60" t="s">
        <v>46</v>
      </c>
      <c r="E15" s="59">
        <v>1020842474</v>
      </c>
      <c r="F15" s="54">
        <v>9318701601830</v>
      </c>
      <c r="G15" s="55">
        <v>95140100002519</v>
      </c>
      <c r="H15" s="60" t="s">
        <v>28</v>
      </c>
      <c r="I15" s="61">
        <v>1695385</v>
      </c>
      <c r="J15" s="60"/>
      <c r="K15" s="61"/>
      <c r="L15" s="95">
        <f t="shared" si="0"/>
        <v>1695385</v>
      </c>
      <c r="M15" s="96">
        <f t="shared" si="1"/>
        <v>458.21216216216214</v>
      </c>
      <c r="N15" s="97">
        <f t="shared" si="2"/>
        <v>410615.5</v>
      </c>
      <c r="O15" s="98">
        <f t="shared" si="3"/>
        <v>84769.25</v>
      </c>
      <c r="P15" s="99">
        <f t="shared" si="4"/>
        <v>1200000.25</v>
      </c>
      <c r="Q15" s="100">
        <f t="shared" si="5"/>
        <v>169538.5</v>
      </c>
      <c r="R15" s="37">
        <v>200000</v>
      </c>
      <c r="S15" s="24">
        <f t="shared" si="6"/>
        <v>1000000.25</v>
      </c>
      <c r="T15" s="15">
        <f t="shared" si="7"/>
        <v>270.27033783783781</v>
      </c>
    </row>
    <row r="16" spans="1:39" ht="14.5" x14ac:dyDescent="0.35">
      <c r="A16" s="62">
        <v>10</v>
      </c>
      <c r="B16" s="46" t="s">
        <v>51</v>
      </c>
      <c r="C16" s="63" t="s">
        <v>52</v>
      </c>
      <c r="D16" s="52" t="s">
        <v>46</v>
      </c>
      <c r="E16" s="46">
        <v>1021583578</v>
      </c>
      <c r="F16" s="57">
        <v>9618704182190</v>
      </c>
      <c r="G16" s="64">
        <v>32028043180</v>
      </c>
      <c r="H16" s="52" t="s">
        <v>53</v>
      </c>
      <c r="I16" s="56">
        <v>2926154</v>
      </c>
      <c r="J16" s="52"/>
      <c r="K16" s="56"/>
      <c r="L16" s="88">
        <f t="shared" ref="L16" si="8">SUM(I16:K16)</f>
        <v>2926154</v>
      </c>
      <c r="M16" s="89">
        <f t="shared" si="1"/>
        <v>790.85243243243247</v>
      </c>
      <c r="N16" s="90">
        <f t="shared" si="2"/>
        <v>779846.2</v>
      </c>
      <c r="O16" s="91">
        <f t="shared" si="3"/>
        <v>146307.70000000001</v>
      </c>
      <c r="P16" s="29">
        <f t="shared" si="4"/>
        <v>2000000.1</v>
      </c>
      <c r="Q16" s="92">
        <f t="shared" si="5"/>
        <v>292615.40000000002</v>
      </c>
      <c r="R16" s="35">
        <v>0</v>
      </c>
      <c r="S16" s="14">
        <f t="shared" ref="S16" si="9">P16-R16</f>
        <v>2000000.1</v>
      </c>
      <c r="T16" s="15">
        <f t="shared" si="7"/>
        <v>540.54056756756756</v>
      </c>
    </row>
    <row r="17" spans="1:20" ht="14.5" x14ac:dyDescent="0.35">
      <c r="A17" s="62">
        <v>11</v>
      </c>
      <c r="B17" s="46" t="s">
        <v>89</v>
      </c>
      <c r="C17" s="52" t="s">
        <v>91</v>
      </c>
      <c r="D17" s="52" t="s">
        <v>90</v>
      </c>
      <c r="E17" s="57">
        <v>1008809372</v>
      </c>
      <c r="F17" s="57"/>
      <c r="G17" s="84"/>
      <c r="H17" s="52"/>
      <c r="I17" s="56">
        <v>3500000</v>
      </c>
      <c r="J17" s="52"/>
      <c r="K17" s="56"/>
      <c r="L17" s="88">
        <f>SUM(I17:K17)</f>
        <v>3500000</v>
      </c>
      <c r="M17" s="89">
        <f>L17/3700</f>
        <v>945.94594594594594</v>
      </c>
      <c r="N17" s="90">
        <f>IF(L17&lt;235000,"Nil",IF(L17&lt;335000,10%*(L17-235000),IF(L17&lt;410000,10000+(20%*(L17-335000)),IF(L17&lt;10000000,25000+30%*(L17-410000),"25000+30%*(G6-410000)+ (10%*(G6-10000000)"))))</f>
        <v>952000</v>
      </c>
      <c r="O17" s="91">
        <f>L17*$O$5</f>
        <v>175000</v>
      </c>
      <c r="P17" s="29">
        <f>L17-(SUM(N17:O17))</f>
        <v>2373000</v>
      </c>
      <c r="Q17" s="92">
        <f>L17*$Q$5</f>
        <v>350000</v>
      </c>
      <c r="R17" s="35">
        <v>0</v>
      </c>
      <c r="S17" s="22"/>
      <c r="T17" s="15"/>
    </row>
    <row r="18" spans="1:20" ht="14.5" x14ac:dyDescent="0.35">
      <c r="A18" s="62"/>
      <c r="B18" s="62"/>
      <c r="C18" s="161" t="s">
        <v>54</v>
      </c>
      <c r="D18" s="161"/>
      <c r="E18" s="65"/>
      <c r="F18" s="65"/>
      <c r="G18" s="65"/>
      <c r="H18" s="52"/>
      <c r="I18" s="65">
        <f>SUBTOTAL(109,Table1[Basic Pay])</f>
        <v>33088047.399999995</v>
      </c>
      <c r="J18" s="65">
        <f>SUBTOTAL(109,Table1[[Commisions ]])</f>
        <v>0</v>
      </c>
      <c r="K18" s="157"/>
      <c r="L18" s="101">
        <f>SUM(L7:L17)</f>
        <v>33088047.399999995</v>
      </c>
      <c r="M18" s="89">
        <f t="shared" si="1"/>
        <v>8942.7155135135126</v>
      </c>
      <c r="N18" s="102">
        <f t="shared" ref="N18:T18" si="10">SUM(N7:N17)</f>
        <v>8848414.2199999988</v>
      </c>
      <c r="O18" s="102">
        <f t="shared" si="10"/>
        <v>1654402.3699999999</v>
      </c>
      <c r="P18" s="102">
        <f t="shared" si="10"/>
        <v>22585230.810000002</v>
      </c>
      <c r="Q18" s="102">
        <f t="shared" si="10"/>
        <v>3308804.7399999998</v>
      </c>
      <c r="R18" s="35">
        <f t="shared" si="10"/>
        <v>1150000</v>
      </c>
      <c r="S18" s="17">
        <f t="shared" si="10"/>
        <v>19062230.810000002</v>
      </c>
      <c r="T18" s="17">
        <f t="shared" si="10"/>
        <v>5151.9542729729737</v>
      </c>
    </row>
    <row r="19" spans="1:20" ht="14.5" x14ac:dyDescent="0.35">
      <c r="C19" s="43"/>
      <c r="D19" s="66"/>
      <c r="E19" s="66"/>
      <c r="F19" s="66"/>
      <c r="G19" s="66"/>
      <c r="H19" s="66"/>
      <c r="I19" s="66"/>
      <c r="J19" s="66"/>
      <c r="K19" s="158"/>
      <c r="N19" s="20"/>
      <c r="O19" s="20"/>
      <c r="P19" s="20"/>
    </row>
    <row r="20" spans="1:20" ht="14.5" x14ac:dyDescent="0.35">
      <c r="C20" s="1"/>
      <c r="D20" s="70" t="s">
        <v>84</v>
      </c>
      <c r="E20" s="1"/>
      <c r="F20" s="1"/>
      <c r="G20" s="1"/>
      <c r="H20" s="1"/>
      <c r="I20" s="40"/>
      <c r="J20" s="40"/>
      <c r="L20" s="3"/>
      <c r="M20" s="3"/>
      <c r="N20" s="1"/>
      <c r="O20" s="18"/>
      <c r="P20" s="20"/>
      <c r="Q20" s="16"/>
    </row>
    <row r="21" spans="1:20" ht="14.5" x14ac:dyDescent="0.35">
      <c r="C21" s="71" t="s">
        <v>55</v>
      </c>
      <c r="D21" t="s">
        <v>56</v>
      </c>
      <c r="E21" s="72">
        <f>L18</f>
        <v>33088047.399999995</v>
      </c>
      <c r="F21" s="72"/>
      <c r="G21" s="72"/>
      <c r="H21" s="1"/>
      <c r="I21" s="18"/>
      <c r="J21" s="67"/>
      <c r="P21" s="20"/>
      <c r="Q21" s="16"/>
    </row>
    <row r="22" spans="1:20" ht="14.5" x14ac:dyDescent="0.35">
      <c r="C22" s="73" t="s">
        <v>57</v>
      </c>
      <c r="D22" s="74" t="s">
        <v>58</v>
      </c>
      <c r="E22" s="75"/>
      <c r="F22" s="72">
        <f>S18</f>
        <v>19062230.810000002</v>
      </c>
      <c r="G22" s="72"/>
      <c r="H22" s="76"/>
      <c r="I22" s="18"/>
      <c r="J22" s="68"/>
      <c r="P22" s="20"/>
      <c r="Q22" s="16"/>
    </row>
    <row r="23" spans="1:20" ht="14.5" x14ac:dyDescent="0.35">
      <c r="C23" s="73" t="s">
        <v>57</v>
      </c>
      <c r="D23" s="74" t="s">
        <v>92</v>
      </c>
      <c r="E23" s="75"/>
      <c r="F23" s="72">
        <f>P17</f>
        <v>2373000</v>
      </c>
      <c r="G23" s="72"/>
      <c r="H23" s="76"/>
      <c r="I23" s="18"/>
      <c r="J23" s="68"/>
      <c r="P23" s="20"/>
      <c r="Q23" s="16"/>
    </row>
    <row r="24" spans="1:20" ht="14.5" x14ac:dyDescent="0.35">
      <c r="C24" s="71" t="s">
        <v>57</v>
      </c>
      <c r="D24" t="s">
        <v>21</v>
      </c>
      <c r="E24" s="75"/>
      <c r="F24" s="72">
        <f>N18</f>
        <v>8848414.2199999988</v>
      </c>
      <c r="G24" s="72"/>
      <c r="H24" s="1"/>
      <c r="I24" s="18"/>
      <c r="J24" s="68"/>
      <c r="P24" s="20"/>
      <c r="Q24" s="16"/>
    </row>
    <row r="25" spans="1:20" ht="14.5" x14ac:dyDescent="0.35">
      <c r="C25" s="77" t="s">
        <v>57</v>
      </c>
      <c r="D25" t="s">
        <v>59</v>
      </c>
      <c r="E25" s="75"/>
      <c r="F25" s="78">
        <f>O18</f>
        <v>1654402.3699999999</v>
      </c>
      <c r="G25" s="78"/>
      <c r="H25" s="1"/>
      <c r="I25" s="18"/>
      <c r="J25" s="68"/>
      <c r="Q25" s="16"/>
    </row>
    <row r="26" spans="1:20" ht="14.5" x14ac:dyDescent="0.35">
      <c r="C26" s="79" t="s">
        <v>55</v>
      </c>
      <c r="D26" s="20" t="s">
        <v>60</v>
      </c>
      <c r="E26" s="80">
        <v>0</v>
      </c>
      <c r="F26" s="72">
        <f>R18</f>
        <v>1150000</v>
      </c>
      <c r="G26" s="72"/>
      <c r="H26" s="1"/>
      <c r="I26" s="18"/>
      <c r="J26" s="69"/>
      <c r="P26" s="20"/>
      <c r="Q26" s="16"/>
    </row>
    <row r="27" spans="1:20" ht="14.5" x14ac:dyDescent="0.35">
      <c r="C27" s="73" t="s">
        <v>55</v>
      </c>
      <c r="D27" s="74" t="s">
        <v>61</v>
      </c>
      <c r="E27" s="72">
        <f>Q18</f>
        <v>3308804.7399999998</v>
      </c>
      <c r="F27" s="72"/>
      <c r="G27" s="72"/>
      <c r="H27" s="1"/>
      <c r="I27" s="18"/>
      <c r="J27" s="67"/>
      <c r="Q27" s="16"/>
    </row>
    <row r="28" spans="1:20" ht="14.5" x14ac:dyDescent="0.35">
      <c r="C28" s="73" t="s">
        <v>57</v>
      </c>
      <c r="D28" s="74" t="s">
        <v>62</v>
      </c>
      <c r="E28" s="75"/>
      <c r="F28" s="78">
        <f>E27</f>
        <v>3308804.7399999998</v>
      </c>
      <c r="G28" s="78"/>
      <c r="H28" s="1"/>
      <c r="I28" s="18"/>
      <c r="J28" s="19"/>
      <c r="K28" s="19"/>
      <c r="L28"/>
      <c r="Q28" s="16"/>
    </row>
    <row r="29" spans="1:20" thickBot="1" x14ac:dyDescent="0.4">
      <c r="C29" s="1"/>
      <c r="D29" s="81"/>
      <c r="E29" s="82">
        <f>SUM(E19:E28)</f>
        <v>36396852.139999993</v>
      </c>
      <c r="F29" s="82">
        <f>SUM(F19:F28)</f>
        <v>36396852.140000001</v>
      </c>
      <c r="G29" s="83">
        <f>F29/3750</f>
        <v>9705.827237333333</v>
      </c>
      <c r="H29" s="81" t="s">
        <v>20</v>
      </c>
      <c r="J29" s="19"/>
      <c r="K29" s="19"/>
      <c r="L29"/>
      <c r="Q29" s="16"/>
    </row>
    <row r="30" spans="1:20" thickTop="1" x14ac:dyDescent="0.35">
      <c r="E30" s="67"/>
      <c r="F30" s="67"/>
      <c r="G30" s="67"/>
      <c r="H30" s="67"/>
      <c r="I30" s="67"/>
      <c r="J30" s="67"/>
    </row>
  </sheetData>
  <mergeCells count="3">
    <mergeCell ref="N4:O4"/>
    <mergeCell ref="C18:D18"/>
    <mergeCell ref="A4:B4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55" fitToHeight="0" orientation="landscape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B60BD-330C-44DE-B15D-BF24E372E4F2}">
  <sheetPr codeName="Sheet8"/>
  <dimension ref="B5:L27"/>
  <sheetViews>
    <sheetView topLeftCell="A5" zoomScaleNormal="100" workbookViewId="0">
      <selection activeCell="D12" sqref="D12"/>
    </sheetView>
  </sheetViews>
  <sheetFormatPr defaultColWidth="8.7265625" defaultRowHeight="14" x14ac:dyDescent="0.3"/>
  <cols>
    <col min="1" max="1" width="2.453125" style="108" customWidth="1"/>
    <col min="2" max="2" width="1.7265625" style="108" customWidth="1"/>
    <col min="3" max="3" width="23.453125" style="108" customWidth="1"/>
    <col min="4" max="4" width="24.54296875" style="108" customWidth="1"/>
    <col min="5" max="5" width="1.6328125" style="108" customWidth="1"/>
    <col min="6" max="6" width="17.453125" style="108" customWidth="1"/>
    <col min="7" max="7" width="24" style="108" customWidth="1"/>
    <col min="8" max="9" width="2.81640625" style="108" customWidth="1"/>
    <col min="10" max="11" width="8.7265625" style="108"/>
    <col min="12" max="12" width="13.1796875" style="108" bestFit="1" customWidth="1"/>
    <col min="13" max="16384" width="8.7265625" style="108"/>
  </cols>
  <sheetData>
    <row r="5" spans="3:12" ht="16.5" x14ac:dyDescent="0.35">
      <c r="D5" s="171" t="s">
        <v>63</v>
      </c>
      <c r="E5" s="171"/>
      <c r="F5" s="171"/>
      <c r="G5" s="171"/>
    </row>
    <row r="6" spans="3:12" x14ac:dyDescent="0.3">
      <c r="D6" s="172" t="s">
        <v>64</v>
      </c>
      <c r="E6" s="172"/>
      <c r="F6" s="172"/>
      <c r="G6" s="172"/>
    </row>
    <row r="7" spans="3:12" x14ac:dyDescent="0.3">
      <c r="D7" s="172" t="s">
        <v>65</v>
      </c>
      <c r="E7" s="172"/>
      <c r="F7" s="172"/>
      <c r="G7" s="172"/>
    </row>
    <row r="8" spans="3:12" x14ac:dyDescent="0.3">
      <c r="D8" s="172" t="s">
        <v>66</v>
      </c>
      <c r="E8" s="172"/>
      <c r="F8" s="172"/>
      <c r="G8" s="172"/>
    </row>
    <row r="9" spans="3:12" x14ac:dyDescent="0.3">
      <c r="D9" s="109"/>
      <c r="E9" s="109"/>
      <c r="F9" s="109"/>
      <c r="G9" s="109"/>
      <c r="L9" s="110"/>
    </row>
    <row r="10" spans="3:12" s="111" customFormat="1" ht="17.149999999999999" customHeight="1" x14ac:dyDescent="0.35">
      <c r="C10" s="176">
        <f>'Master Sheet'!C4</f>
        <v>46023</v>
      </c>
      <c r="D10" s="176"/>
      <c r="E10" s="176"/>
      <c r="F10" s="176"/>
      <c r="G10" s="176"/>
      <c r="L10" s="112"/>
    </row>
    <row r="11" spans="3:12" s="111" customFormat="1" ht="17.149999999999999" customHeight="1" x14ac:dyDescent="0.35">
      <c r="D11" s="113"/>
      <c r="E11" s="113"/>
      <c r="F11" s="114"/>
    </row>
    <row r="12" spans="3:12" s="111" customFormat="1" ht="17.149999999999999" customHeight="1" x14ac:dyDescent="0.35">
      <c r="C12" s="115" t="s">
        <v>67</v>
      </c>
      <c r="D12" s="21" t="s">
        <v>44</v>
      </c>
      <c r="E12" s="116"/>
      <c r="F12" s="117" t="s">
        <v>68</v>
      </c>
      <c r="G12" s="118">
        <f>'Master Sheet'!E4</f>
        <v>46056</v>
      </c>
    </row>
    <row r="13" spans="3:12" s="111" customFormat="1" ht="17.149999999999999" customHeight="1" x14ac:dyDescent="0.3">
      <c r="C13" s="117" t="s">
        <v>69</v>
      </c>
      <c r="D13" s="112" t="str">
        <f>'Master Sheet'!V7</f>
        <v>Kawunde Paul</v>
      </c>
      <c r="E13" s="119"/>
      <c r="F13" s="117" t="s">
        <v>70</v>
      </c>
      <c r="G13" s="120" t="str">
        <f>'Master Sheet'!W7</f>
        <v>Business Development Executive</v>
      </c>
      <c r="L13" s="108"/>
    </row>
    <row r="14" spans="3:12" s="111" customFormat="1" ht="17.149999999999999" customHeight="1" x14ac:dyDescent="0.35">
      <c r="C14" s="117" t="s">
        <v>71</v>
      </c>
      <c r="D14" s="112">
        <f>'Master Sheet'!X7</f>
        <v>1019028053</v>
      </c>
      <c r="E14" s="112"/>
      <c r="F14" s="117" t="s">
        <v>72</v>
      </c>
      <c r="G14" s="121">
        <f>'Master Sheet'!Y7</f>
        <v>9418702271143</v>
      </c>
    </row>
    <row r="15" spans="3:12" s="111" customFormat="1" ht="17.149999999999999" customHeight="1" x14ac:dyDescent="0.35">
      <c r="C15" s="117" t="s">
        <v>73</v>
      </c>
      <c r="D15" s="121">
        <f>'Master Sheet'!Z7</f>
        <v>95140100002021</v>
      </c>
      <c r="E15" s="121"/>
      <c r="F15" s="117" t="s">
        <v>74</v>
      </c>
      <c r="G15" s="121" t="str">
        <f>'Master Sheet'!AA7</f>
        <v>Bank of Baroda</v>
      </c>
    </row>
    <row r="16" spans="3:12" s="111" customFormat="1" ht="22" customHeight="1" x14ac:dyDescent="0.35">
      <c r="C16" s="165" t="s">
        <v>75</v>
      </c>
      <c r="D16" s="166"/>
      <c r="E16" s="122"/>
      <c r="F16" s="123"/>
      <c r="G16" s="113"/>
    </row>
    <row r="17" spans="2:8" s="111" customFormat="1" ht="22" customHeight="1" x14ac:dyDescent="0.35">
      <c r="B17" s="124"/>
      <c r="C17" s="125" t="s">
        <v>76</v>
      </c>
      <c r="D17" s="126" t="s">
        <v>77</v>
      </c>
      <c r="E17" s="127"/>
      <c r="F17" s="128" t="s">
        <v>3</v>
      </c>
      <c r="G17" s="129" t="s">
        <v>77</v>
      </c>
      <c r="H17" s="124"/>
    </row>
    <row r="18" spans="2:8" s="111" customFormat="1" ht="22" customHeight="1" x14ac:dyDescent="0.35">
      <c r="C18" s="130" t="s">
        <v>78</v>
      </c>
      <c r="D18" s="119">
        <f>'Master Sheet'!AB7</f>
        <v>4476754.9000000004</v>
      </c>
      <c r="E18" s="119"/>
      <c r="F18" s="131" t="s">
        <v>79</v>
      </c>
      <c r="G18" s="119">
        <f>IF(D21&lt;235000,"Nil",IF(D21&lt;335000,10%*(D21-235000),IF(D21&lt;410000,10000+(20%*(D21-335000)),IF(D21&lt;10000000,25000+30%*(D21-410000),"25000+30%*(G6-410000)+ (10%*(G6-10000000)"))))</f>
        <v>1245026.47</v>
      </c>
    </row>
    <row r="19" spans="2:8" s="111" customFormat="1" ht="22" customHeight="1" x14ac:dyDescent="0.35">
      <c r="B19" s="124"/>
      <c r="C19" s="132" t="str">
        <f>IF(D19=0,"",'Master Sheet'!J6)</f>
        <v/>
      </c>
      <c r="D19" s="133">
        <f>'Master Sheet'!AC7</f>
        <v>0</v>
      </c>
      <c r="E19" s="133"/>
      <c r="F19" s="131" t="s">
        <v>13</v>
      </c>
      <c r="G19" s="133">
        <f>D21*5%</f>
        <v>223837.74500000002</v>
      </c>
      <c r="H19" s="124"/>
    </row>
    <row r="20" spans="2:8" s="111" customFormat="1" ht="22" customHeight="1" thickBot="1" x14ac:dyDescent="0.4">
      <c r="B20" s="134"/>
      <c r="C20" s="135" t="str">
        <f>IF(D20=0,"",'Master Sheet'!K6)</f>
        <v/>
      </c>
      <c r="D20" s="136">
        <f>'Master Sheet'!AD7</f>
        <v>0</v>
      </c>
      <c r="E20" s="136"/>
      <c r="F20" s="137" t="str">
        <f>IF(G20=0,"","Advance")</f>
        <v>Advance</v>
      </c>
      <c r="G20" s="119">
        <f>'Master Sheet'!AK7</f>
        <v>950000</v>
      </c>
      <c r="H20" s="134"/>
    </row>
    <row r="21" spans="2:8" s="111" customFormat="1" ht="22" customHeight="1" thickBot="1" x14ac:dyDescent="0.4">
      <c r="B21" s="138"/>
      <c r="C21" s="139" t="s">
        <v>80</v>
      </c>
      <c r="D21" s="140">
        <f>SUM(D18:D20)</f>
        <v>4476754.9000000004</v>
      </c>
      <c r="E21" s="141"/>
      <c r="F21" s="142" t="s">
        <v>81</v>
      </c>
      <c r="G21" s="143">
        <f>ROUND((SUM(G18:G20)),0)</f>
        <v>2418864</v>
      </c>
      <c r="H21" s="138"/>
    </row>
    <row r="22" spans="2:8" s="111" customFormat="1" ht="22" customHeight="1" thickTop="1" x14ac:dyDescent="0.35">
      <c r="C22" s="167" t="s">
        <v>80</v>
      </c>
      <c r="D22" s="168"/>
      <c r="E22" s="168"/>
      <c r="F22" s="168"/>
      <c r="G22" s="119">
        <f>D21</f>
        <v>4476754.9000000004</v>
      </c>
    </row>
    <row r="23" spans="2:8" s="111" customFormat="1" ht="22" customHeight="1" thickBot="1" x14ac:dyDescent="0.4">
      <c r="B23" s="144"/>
      <c r="C23" s="169" t="s">
        <v>81</v>
      </c>
      <c r="D23" s="170"/>
      <c r="E23" s="170"/>
      <c r="F23" s="170"/>
      <c r="G23" s="145">
        <f>G21</f>
        <v>2418864</v>
      </c>
      <c r="H23" s="144"/>
    </row>
    <row r="24" spans="2:8" s="111" customFormat="1" ht="20.149999999999999" customHeight="1" thickBot="1" x14ac:dyDescent="0.4">
      <c r="B24" s="146"/>
      <c r="C24" s="174" t="s">
        <v>88</v>
      </c>
      <c r="D24" s="175"/>
      <c r="E24" s="175"/>
      <c r="F24" s="175"/>
      <c r="G24" s="147">
        <f>ROUND((G22-G23),0)</f>
        <v>2057891</v>
      </c>
      <c r="H24" s="146"/>
    </row>
    <row r="25" spans="2:8" ht="7" customHeight="1" thickTop="1" x14ac:dyDescent="0.3">
      <c r="D25" s="148"/>
      <c r="E25" s="148"/>
      <c r="F25" s="148"/>
      <c r="G25" s="149"/>
    </row>
    <row r="26" spans="2:8" ht="36" customHeight="1" x14ac:dyDescent="0.3">
      <c r="B26" s="150"/>
      <c r="C26" s="151" t="s">
        <v>82</v>
      </c>
      <c r="D26" s="173" t="str" cm="1">
        <f t="array" ref="D26">SpellNumber(G24)</f>
        <v>Two Million Fifty Seven Thousand Eight Hundred Ninety One Shillings and No Cents</v>
      </c>
      <c r="E26" s="173"/>
      <c r="F26" s="173"/>
      <c r="G26" s="173"/>
      <c r="H26" s="150"/>
    </row>
    <row r="27" spans="2:8" ht="29" customHeight="1" x14ac:dyDescent="0.3">
      <c r="C27" s="163" t="s">
        <v>83</v>
      </c>
      <c r="D27" s="164"/>
      <c r="E27" s="164"/>
      <c r="F27" s="164"/>
      <c r="G27" s="164"/>
    </row>
  </sheetData>
  <sheetProtection sheet="1" objects="1" scenarios="1"/>
  <mergeCells count="11">
    <mergeCell ref="C27:G27"/>
    <mergeCell ref="C16:D16"/>
    <mergeCell ref="C22:F22"/>
    <mergeCell ref="C23:F23"/>
    <mergeCell ref="D5:G5"/>
    <mergeCell ref="D6:G6"/>
    <mergeCell ref="D7:G7"/>
    <mergeCell ref="D26:G26"/>
    <mergeCell ref="D8:G8"/>
    <mergeCell ref="C24:F24"/>
    <mergeCell ref="C10:G10"/>
  </mergeCells>
  <pageMargins left="0.7" right="0.7" top="0.75" bottom="0.75" header="0.3" footer="0.3"/>
  <pageSetup paperSize="9" scale="8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C226A-0737-4398-9D45-3FE13D4228ED}">
          <x14:formula1>
            <xm:f>'Master Sheet'!$B$7:$B$17</xm:f>
          </x14:formula1>
          <xm:sqref>E12</xm:sqref>
        </x14:dataValidation>
        <x14:dataValidation type="list" errorStyle="warning" allowBlank="1" showInputMessage="1" showErrorMessage="1" prompt="Select the Employee ID" xr:uid="{9F1F73D8-2CC5-4170-98ED-201E8136667A}">
          <x14:formula1>
            <xm:f>'Master Sheet'!$B$7:$B$20</xm:f>
          </x14:formula1>
          <xm:sqref>D12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07b52f7-778f-4f3d-96da-7b4b836c103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E754CA65386648BA60AEDC0741B0F1" ma:contentTypeVersion="18" ma:contentTypeDescription="Create a new document." ma:contentTypeScope="" ma:versionID="96145ec13caa3dec7200fc63432a6c1a">
  <xsd:schema xmlns:xsd="http://www.w3.org/2001/XMLSchema" xmlns:xs="http://www.w3.org/2001/XMLSchema" xmlns:p="http://schemas.microsoft.com/office/2006/metadata/properties" xmlns:ns3="407b52f7-778f-4f3d-96da-7b4b836c1038" xmlns:ns4="f4012413-b6fb-4cd5-9abd-cbe24a19c713" targetNamespace="http://schemas.microsoft.com/office/2006/metadata/properties" ma:root="true" ma:fieldsID="400f1b2306646c7a461c366caef5e925" ns3:_="" ns4:_="">
    <xsd:import namespace="407b52f7-778f-4f3d-96da-7b4b836c1038"/>
    <xsd:import namespace="f4012413-b6fb-4cd5-9abd-cbe24a19c71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7b52f7-778f-4f3d-96da-7b4b836c10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012413-b6fb-4cd5-9abd-cbe24a19c713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0A684A-BA4B-416A-B8CA-2863203C00F5}">
  <ds:schemaRefs>
    <ds:schemaRef ds:uri="http://www.w3.org/XML/1998/namespace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schemas.microsoft.com/office/infopath/2007/PartnerControls"/>
    <ds:schemaRef ds:uri="f4012413-b6fb-4cd5-9abd-cbe24a19c713"/>
    <ds:schemaRef ds:uri="407b52f7-778f-4f3d-96da-7b4b836c1038"/>
  </ds:schemaRefs>
</ds:datastoreItem>
</file>

<file path=customXml/itemProps2.xml><?xml version="1.0" encoding="utf-8"?>
<ds:datastoreItem xmlns:ds="http://schemas.openxmlformats.org/officeDocument/2006/customXml" ds:itemID="{E1238B46-E577-49DF-8DCE-1654339309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07b52f7-778f-4f3d-96da-7b4b836c1038"/>
    <ds:schemaRef ds:uri="f4012413-b6fb-4cd5-9abd-cbe24a19c7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6750A79-5DF6-4E47-886B-49BB875062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Master Sheet</vt:lpstr>
      <vt:lpstr>Payslip</vt:lpstr>
      <vt:lpstr>Payslip!Print_Area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Aneesh Mathew</dc:creator>
  <cp:keywords/>
  <dc:description/>
  <cp:lastModifiedBy>Aneesh Mathew</cp:lastModifiedBy>
  <cp:revision/>
  <cp:lastPrinted>2025-03-01T09:16:22Z</cp:lastPrinted>
  <dcterms:created xsi:type="dcterms:W3CDTF">2024-12-23T09:20:43Z</dcterms:created>
  <dcterms:modified xsi:type="dcterms:W3CDTF">2026-02-18T08:49:11Z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0x010100FDE754CA65386648BA60AEDC0741B0F1</vt:lpwstr>
  </property>
</Properties>
</file>